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7"/>
  <workbookPr/>
  <mc:AlternateContent xmlns:mc="http://schemas.openxmlformats.org/markup-compatibility/2006">
    <mc:Choice Requires="x15">
      <x15ac:absPath xmlns:x15ac="http://schemas.microsoft.com/office/spreadsheetml/2010/11/ac" url="https://share.mcd.com/personal/cecilia_milazzo_us_mcd_com/Documents/Desktop/A_US Marketing/USM Website/"/>
    </mc:Choice>
  </mc:AlternateContent>
  <xr:revisionPtr revIDLastSave="0" documentId="8_{8BEF3F4F-B40D-4D84-B12A-838A3CE99238}" xr6:coauthVersionLast="47" xr6:coauthVersionMax="47" xr10:uidLastSave="{00000000-0000-0000-0000-000000000000}"/>
  <bookViews>
    <workbookView xWindow="-110" yWindow="-110" windowWidth="19420" windowHeight="11500" tabRatio="764" firstSheet="1" activeTab="1" xr2:uid="{00000000-000D-0000-FFFF-FFFF00000000}"/>
  </bookViews>
  <sheets>
    <sheet name="2026 Calendar-Original 9.11.25" sheetId="27" state="hidden" r:id="rId1"/>
    <sheet name="2026 Calendar-Revision 1 11.25" sheetId="28" r:id="rId2"/>
  </sheets>
  <definedNames>
    <definedName name="_xlnm.Print_Area" localSheetId="0">'2026 Calendar-Original 9.11.25'!$B$1:$BA$7</definedName>
    <definedName name="_xlnm.Print_Area" localSheetId="1">'2026 Calendar-Revision 1 11.25'!$B$1:$BA$7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28" l="1"/>
  <c r="D7" i="28"/>
  <c r="G14" i="28" l="1"/>
  <c r="AZ7" i="28"/>
  <c r="AU7" i="28"/>
  <c r="AT7" i="28"/>
  <c r="AR7" i="28"/>
  <c r="AM7" i="28"/>
  <c r="AI7" i="28"/>
  <c r="AD7" i="28"/>
  <c r="Y7" i="28"/>
  <c r="T7" i="28"/>
  <c r="O7" i="28"/>
  <c r="L7" i="28"/>
  <c r="F7" i="28"/>
  <c r="G14" i="27" l="1"/>
  <c r="AY7" i="27"/>
  <c r="X7" i="27"/>
  <c r="AT7" i="27" l="1"/>
  <c r="AC7" i="27" l="1"/>
  <c r="S7" i="27"/>
  <c r="L7" i="27"/>
  <c r="F7" i="27"/>
  <c r="D7" i="27"/>
  <c r="B7" i="27"/>
  <c r="AR7" i="27" l="1"/>
  <c r="AM7" i="27"/>
  <c r="AH7" i="27"/>
  <c r="O7" i="27"/>
</calcChain>
</file>

<file path=xl/sharedStrings.xml><?xml version="1.0" encoding="utf-8"?>
<sst xmlns="http://schemas.openxmlformats.org/spreadsheetml/2006/main" count="148" uniqueCount="45">
  <si>
    <t>2026 Happy Meal</t>
  </si>
  <si>
    <t>Q1</t>
  </si>
  <si>
    <t>Q3</t>
  </si>
  <si>
    <t>Q2</t>
  </si>
  <si>
    <t>Q4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</si>
  <si>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</si>
  <si>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</si>
  <si>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</si>
  <si>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</si>
  <si>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</si>
  <si>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</si>
  <si>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</si>
  <si>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</si>
  <si>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</si>
  <si>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</si>
  <si>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</si>
  <si>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</si>
  <si>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2025 Carry Over</t>
  </si>
  <si>
    <t>Clean Up
1/13 - 1/26</t>
  </si>
  <si>
    <t>Happy Meal #1
1/27 - 3/9</t>
  </si>
  <si>
    <t>Happy Meal #2
3/10 - 3/30</t>
  </si>
  <si>
    <t>Happy Meal #3
3/31 - 4/27</t>
  </si>
  <si>
    <t>Happy Meal #4
4/28 - 6/1</t>
  </si>
  <si>
    <t>Happy Meal #5
6/2-7/6</t>
  </si>
  <si>
    <t>Happy Meal #6
7/7 - 8/10</t>
  </si>
  <si>
    <t>Happy Meal #7
8/11-9/14</t>
  </si>
  <si>
    <t>Happy Meal #8
9/15-10/19</t>
  </si>
  <si>
    <t>Happy Meal #9
10/20-11/2</t>
  </si>
  <si>
    <t>Happy Meal #10
11/3 - 12/7</t>
  </si>
  <si>
    <t>Happy Meal #11
12/8-12/21</t>
  </si>
  <si>
    <t>Unit Mix: 100% :15s</t>
  </si>
  <si>
    <t>Video:</t>
  </si>
  <si>
    <t>Digital:</t>
  </si>
  <si>
    <t>2026 GRPs:</t>
  </si>
  <si>
    <t>Includes Cinema</t>
  </si>
  <si>
    <t>POD/Digital Video, Gaming, Display</t>
  </si>
  <si>
    <t>Happy Meal #3
3/31 - 5/4</t>
  </si>
  <si>
    <t>Happy Meal #4
5/5 - 6/8</t>
  </si>
  <si>
    <t>Happy Meal #5
6/9-7/13</t>
  </si>
  <si>
    <t>Happy Meal #6
7/14 - 8/17</t>
  </si>
  <si>
    <t>Happy Meal #7
8/18-9/14</t>
  </si>
  <si>
    <t>Clean Up 2
11/3 - 11/9</t>
  </si>
  <si>
    <t>Happy Meal #10
11/10 - 12/14</t>
  </si>
  <si>
    <t>Happy Meal #11
12/15-12/27</t>
  </si>
  <si>
    <t>Video: 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</si>
</sst>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3" formatCode="_(* #,##0.00_);_(* \(#,##0.00\);_(* &quot;-&quot;??_);_(@_)"/>
    <numFmt numFmtId="164" formatCode="_([$$-409]* #,##0.00_);_([$$-409]* \(#,##0.00\);_([$$-409]* &quot;-&quot;??_);_(@_)"/>
  </numFmts>
  <fonts count="22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0"/>
      <name val="Calibri"/>
      <family val="2"/>
    </font>
    <font>
      <b/>
      <sz val="20"/>
      <name val="Calibri"/>
      <family val="2"/>
    </font>
    <font>
      <b/>
      <sz val="11"/>
      <color indexed="8"/>
      <name val="Calibri"/>
      <family val="2"/>
    </font>
    <font>
      <b/>
      <sz val="11"/>
      <color theme="1"/>
      <name val="Calibri"/>
      <family val="2"/>
    </font>
    <font>
      <sz val="10"/>
      <color indexed="8"/>
      <name val="Calibri"/>
      <family val="2"/>
    </font>
    <font>
      <sz val="11"/>
      <color theme="1"/>
      <name val="Calibri"/>
      <family val="2"/>
      <scheme val="minor"/>
    </font>
    <font>
      <i/>
      <sz val="8"/>
      <color indexed="8"/>
      <name val="Calibri"/>
      <family val="2"/>
    </font>
    <font>
      <b/>
      <sz val="16"/>
      <name val="Calibri"/>
      <family val="2"/>
    </font>
    <font>
      <b/>
      <sz val="10"/>
      <color theme="1"/>
      <name val="Calibri"/>
      <family val="2"/>
    </font>
    <font>
      <sz val="10"/>
      <color rgb="FF000000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2"/>
      <color indexed="8"/>
      <name val="Calibri"/>
      <family val="2"/>
    </font>
    <font>
      <b/>
      <sz val="12"/>
      <name val="Calibri"/>
      <family val="2"/>
    </font>
    <font>
      <b/>
      <sz val="14"/>
      <color theme="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  <scheme val="minor"/>
    </font>
    <font>
      <b/>
      <sz val="10"/>
      <color indexed="8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70C0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8" fillId="0" borderId="0" applyFont="0" applyFill="0" applyBorder="0" applyAlignment="0" applyProtection="0"/>
  </cellStyleXfs>
  <cellXfs count="156">
    <xf numFmtId="0" fontId="0" fillId="0" borderId="0" xfId="0"/>
    <xf numFmtId="0" fontId="1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1" fillId="5" borderId="0" xfId="0" applyFont="1" applyFill="1"/>
    <xf numFmtId="0" fontId="1" fillId="2" borderId="0" xfId="0" applyFont="1" applyFill="1"/>
    <xf numFmtId="0" fontId="3" fillId="0" borderId="1" xfId="0" applyFont="1" applyBorder="1" applyAlignment="1">
      <alignment horizontal="center" vertical="center" wrapText="1"/>
    </xf>
    <xf numFmtId="164" fontId="1" fillId="0" borderId="0" xfId="0" applyNumberFormat="1" applyFont="1"/>
    <xf numFmtId="164" fontId="5" fillId="0" borderId="0" xfId="0" applyNumberFormat="1" applyFont="1"/>
    <xf numFmtId="8" fontId="1" fillId="0" borderId="0" xfId="0" applyNumberFormat="1" applyFont="1"/>
    <xf numFmtId="0" fontId="1" fillId="0" borderId="0" xfId="0" applyFont="1" applyAlignment="1">
      <alignment wrapText="1"/>
    </xf>
    <xf numFmtId="0" fontId="16" fillId="0" borderId="0" xfId="0" applyFont="1"/>
    <xf numFmtId="0" fontId="17" fillId="0" borderId="0" xfId="3" applyFont="1" applyAlignment="1">
      <alignment horizontal="center" vertical="center" wrapText="1"/>
    </xf>
    <xf numFmtId="0" fontId="7" fillId="0" borderId="0" xfId="0" applyFont="1"/>
    <xf numFmtId="0" fontId="0" fillId="0" borderId="0" xfId="0" applyAlignment="1">
      <alignment vertical="center"/>
    </xf>
    <xf numFmtId="8" fontId="13" fillId="0" borderId="0" xfId="0" applyNumberFormat="1" applyFont="1"/>
    <xf numFmtId="0" fontId="13" fillId="0" borderId="0" xfId="0" applyFont="1"/>
    <xf numFmtId="0" fontId="12" fillId="0" borderId="12" xfId="0" applyFont="1" applyBorder="1" applyAlignment="1">
      <alignment horizontal="center" vertical="top" wrapText="1"/>
    </xf>
    <xf numFmtId="1" fontId="12" fillId="0" borderId="12" xfId="0" applyNumberFormat="1" applyFont="1" applyBorder="1" applyAlignment="1">
      <alignment horizontal="center" vertical="top" wrapText="1"/>
    </xf>
    <xf numFmtId="1" fontId="12" fillId="0" borderId="5" xfId="0" applyNumberFormat="1" applyFont="1" applyBorder="1" applyAlignment="1">
      <alignment horizontal="center" wrapText="1"/>
    </xf>
    <xf numFmtId="1" fontId="20" fillId="0" borderId="1" xfId="5" applyNumberFormat="1" applyFont="1" applyFill="1" applyBorder="1" applyAlignment="1">
      <alignment horizontal="center" vertical="center"/>
    </xf>
    <xf numFmtId="1" fontId="7" fillId="4" borderId="0" xfId="0" applyNumberFormat="1" applyFont="1" applyFill="1"/>
    <xf numFmtId="0" fontId="7" fillId="4" borderId="0" xfId="0" applyFont="1" applyFill="1"/>
    <xf numFmtId="1" fontId="12" fillId="0" borderId="12" xfId="0" applyNumberFormat="1" applyFont="1" applyBorder="1" applyAlignment="1">
      <alignment horizontal="center" wrapText="1"/>
    </xf>
    <xf numFmtId="0" fontId="3" fillId="0" borderId="13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top" wrapText="1"/>
    </xf>
    <xf numFmtId="1" fontId="12" fillId="0" borderId="0" xfId="0" applyNumberFormat="1" applyFont="1" applyAlignment="1">
      <alignment vertical="top" wrapText="1"/>
    </xf>
    <xf numFmtId="1" fontId="12" fillId="0" borderId="12" xfId="0" applyNumberFormat="1" applyFont="1" applyBorder="1" applyAlignment="1">
      <alignment vertical="center" wrapText="1"/>
    </xf>
    <xf numFmtId="1" fontId="12" fillId="0" borderId="7" xfId="0" applyNumberFormat="1" applyFont="1" applyBorder="1" applyAlignment="1">
      <alignment vertical="top" wrapText="1"/>
    </xf>
    <xf numFmtId="0" fontId="12" fillId="0" borderId="6" xfId="0" applyFont="1" applyBorder="1" applyAlignment="1">
      <alignment vertical="top" wrapText="1"/>
    </xf>
    <xf numFmtId="0" fontId="12" fillId="0" borderId="9" xfId="0" applyFont="1" applyBorder="1" applyAlignment="1">
      <alignment vertical="top" wrapText="1"/>
    </xf>
    <xf numFmtId="0" fontId="12" fillId="0" borderId="6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/>
    </xf>
    <xf numFmtId="1" fontId="12" fillId="0" borderId="6" xfId="0" applyNumberFormat="1" applyFont="1" applyBorder="1" applyAlignment="1">
      <alignment horizontal="center" vertical="top" wrapText="1"/>
    </xf>
    <xf numFmtId="1" fontId="12" fillId="0" borderId="0" xfId="0" applyNumberFormat="1" applyFont="1" applyAlignment="1">
      <alignment horizontal="center" wrapText="1"/>
    </xf>
    <xf numFmtId="1" fontId="12" fillId="0" borderId="0" xfId="0" applyNumberFormat="1" applyFont="1" applyAlignment="1">
      <alignment horizontal="center" vertical="top" wrapText="1"/>
    </xf>
    <xf numFmtId="0" fontId="17" fillId="0" borderId="4" xfId="3" applyFont="1" applyBorder="1" applyAlignment="1">
      <alignment horizontal="center" vertical="center" wrapText="1"/>
    </xf>
    <xf numFmtId="0" fontId="17" fillId="0" borderId="8" xfId="3" applyFont="1" applyBorder="1" applyAlignment="1">
      <alignment horizontal="center" vertical="center" wrapText="1"/>
    </xf>
    <xf numFmtId="1" fontId="12" fillId="0" borderId="0" xfId="0" applyNumberFormat="1" applyFont="1" applyAlignment="1">
      <alignment vertical="center" wrapText="1"/>
    </xf>
    <xf numFmtId="1" fontId="0" fillId="0" borderId="0" xfId="0" applyNumberFormat="1" applyAlignment="1">
      <alignment horizontal="center"/>
    </xf>
    <xf numFmtId="1" fontId="12" fillId="0" borderId="0" xfId="0" applyNumberFormat="1" applyFont="1" applyAlignment="1">
      <alignment horizontal="center" vertical="center" wrapText="1"/>
    </xf>
    <xf numFmtId="1" fontId="12" fillId="0" borderId="5" xfId="0" applyNumberFormat="1" applyFont="1" applyBorder="1" applyAlignment="1">
      <alignment horizontal="center" vertical="center" wrapText="1"/>
    </xf>
    <xf numFmtId="1" fontId="12" fillId="0" borderId="12" xfId="0" applyNumberFormat="1" applyFont="1" applyBorder="1" applyAlignment="1">
      <alignment horizontal="center" vertical="center" wrapText="1"/>
    </xf>
    <xf numFmtId="1" fontId="20" fillId="0" borderId="17" xfId="5" applyNumberFormat="1" applyFont="1" applyFill="1" applyBorder="1" applyAlignment="1">
      <alignment horizontal="center" vertical="center"/>
    </xf>
    <xf numFmtId="1" fontId="12" fillId="0" borderId="6" xfId="0" applyNumberFormat="1" applyFont="1" applyBorder="1" applyAlignment="1">
      <alignment vertical="top" wrapText="1"/>
    </xf>
    <xf numFmtId="1" fontId="12" fillId="0" borderId="8" xfId="0" applyNumberFormat="1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wrapText="1"/>
    </xf>
    <xf numFmtId="0" fontId="12" fillId="0" borderId="9" xfId="0" applyFont="1" applyBorder="1" applyAlignment="1">
      <alignment horizontal="center" wrapText="1"/>
    </xf>
    <xf numFmtId="1" fontId="12" fillId="0" borderId="6" xfId="0" applyNumberFormat="1" applyFont="1" applyBorder="1" applyAlignment="1">
      <alignment vertical="center" wrapText="1"/>
    </xf>
    <xf numFmtId="0" fontId="3" fillId="0" borderId="18" xfId="0" applyFont="1" applyBorder="1" applyAlignment="1">
      <alignment horizontal="center" vertical="center" wrapText="1"/>
    </xf>
    <xf numFmtId="1" fontId="12" fillId="0" borderId="7" xfId="0" applyNumberFormat="1" applyFont="1" applyBorder="1" applyAlignment="1">
      <alignment horizontal="center" vertical="center" wrapText="1"/>
    </xf>
    <xf numFmtId="0" fontId="12" fillId="0" borderId="4" xfId="0" quotePrefix="1" applyFont="1" applyBorder="1" applyAlignment="1">
      <alignment horizontal="center" vertical="center" wrapText="1"/>
    </xf>
    <xf numFmtId="1" fontId="12" fillId="0" borderId="11" xfId="0" applyNumberFormat="1" applyFont="1" applyBorder="1" applyAlignment="1">
      <alignment horizontal="center" vertical="center" wrapText="1"/>
    </xf>
    <xf numFmtId="1" fontId="20" fillId="0" borderId="7" xfId="5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wrapText="1"/>
    </xf>
    <xf numFmtId="0" fontId="14" fillId="2" borderId="5" xfId="0" applyFont="1" applyFill="1" applyBorder="1" applyAlignment="1">
      <alignment horizontal="center" wrapText="1"/>
    </xf>
    <xf numFmtId="1" fontId="14" fillId="2" borderId="12" xfId="0" applyNumberFormat="1" applyFont="1" applyFill="1" applyBorder="1" applyAlignment="1">
      <alignment horizontal="center" vertical="center" wrapText="1"/>
    </xf>
    <xf numFmtId="0" fontId="15" fillId="2" borderId="9" xfId="0" applyFont="1" applyFill="1" applyBorder="1" applyAlignment="1">
      <alignment horizontal="center" vertical="top" wrapText="1"/>
    </xf>
    <xf numFmtId="0" fontId="12" fillId="0" borderId="4" xfId="0" applyFont="1" applyBorder="1" applyAlignment="1">
      <alignment horizontal="center" wrapText="1"/>
    </xf>
    <xf numFmtId="0" fontId="12" fillId="0" borderId="11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9" fillId="0" borderId="8" xfId="0" applyFont="1" applyBorder="1" applyAlignment="1">
      <alignment horizontal="center"/>
    </xf>
    <xf numFmtId="0" fontId="12" fillId="0" borderId="11" xfId="0" applyFont="1" applyBorder="1" applyAlignment="1">
      <alignment horizontal="center" wrapText="1"/>
    </xf>
    <xf numFmtId="0" fontId="12" fillId="0" borderId="9" xfId="0" applyFont="1" applyBorder="1" applyAlignment="1">
      <alignment horizontal="center" vertical="top" wrapText="1"/>
    </xf>
    <xf numFmtId="0" fontId="12" fillId="0" borderId="6" xfId="0" applyFont="1" applyBorder="1" applyAlignment="1">
      <alignment horizontal="center" vertical="top" wrapText="1"/>
    </xf>
    <xf numFmtId="0" fontId="12" fillId="0" borderId="11" xfId="0" applyFont="1" applyBorder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0" fontId="19" fillId="3" borderId="2" xfId="0" applyFont="1" applyFill="1" applyBorder="1" applyAlignment="1">
      <alignment horizontal="center" vertical="center" wrapText="1"/>
    </xf>
    <xf numFmtId="0" fontId="14" fillId="2" borderId="11" xfId="0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5" fillId="2" borderId="12" xfId="0" applyFont="1" applyFill="1" applyBorder="1" applyAlignment="1">
      <alignment horizontal="center" vertical="top" wrapText="1"/>
    </xf>
    <xf numFmtId="0" fontId="3" fillId="0" borderId="11" xfId="0" applyFont="1" applyBorder="1" applyAlignment="1">
      <alignment horizontal="center" vertical="center" wrapText="1"/>
    </xf>
    <xf numFmtId="1" fontId="20" fillId="0" borderId="2" xfId="5" applyNumberFormat="1" applyFont="1" applyFill="1" applyBorder="1" applyAlignment="1">
      <alignment horizontal="center" vertical="center"/>
    </xf>
    <xf numFmtId="1" fontId="12" fillId="0" borderId="27" xfId="0" applyNumberFormat="1" applyFont="1" applyBorder="1" applyAlignment="1">
      <alignment horizontal="center" vertical="center" wrapText="1"/>
    </xf>
    <xf numFmtId="1" fontId="12" fillId="0" borderId="28" xfId="0" applyNumberFormat="1" applyFont="1" applyBorder="1" applyAlignment="1">
      <alignment horizontal="center" vertical="center" wrapText="1"/>
    </xf>
    <xf numFmtId="0" fontId="12" fillId="0" borderId="28" xfId="0" applyFont="1" applyBorder="1" applyAlignment="1">
      <alignment horizontal="center" vertical="top" wrapText="1"/>
    </xf>
    <xf numFmtId="1" fontId="20" fillId="0" borderId="29" xfId="5" applyNumberFormat="1" applyFont="1" applyFill="1" applyBorder="1" applyAlignment="1">
      <alignment horizontal="center" vertical="center"/>
    </xf>
    <xf numFmtId="0" fontId="5" fillId="0" borderId="19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3" fontId="1" fillId="0" borderId="15" xfId="0" applyNumberFormat="1" applyFont="1" applyBorder="1" applyAlignment="1">
      <alignment horizontal="center"/>
    </xf>
    <xf numFmtId="3" fontId="1" fillId="0" borderId="16" xfId="0" applyNumberFormat="1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12" fillId="0" borderId="9" xfId="0" applyFont="1" applyBorder="1" applyAlignment="1">
      <alignment horizontal="center" vertical="top" wrapText="1"/>
    </xf>
    <xf numFmtId="0" fontId="12" fillId="0" borderId="6" xfId="0" applyFont="1" applyBorder="1" applyAlignment="1">
      <alignment horizontal="center" vertical="top" wrapText="1"/>
    </xf>
    <xf numFmtId="0" fontId="9" fillId="0" borderId="0" xfId="0" applyFont="1" applyAlignment="1">
      <alignment horizontal="center"/>
    </xf>
    <xf numFmtId="0" fontId="12" fillId="0" borderId="11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1" fontId="14" fillId="2" borderId="11" xfId="0" applyNumberFormat="1" applyFont="1" applyFill="1" applyBorder="1" applyAlignment="1">
      <alignment horizontal="center" vertical="center" wrapText="1"/>
    </xf>
    <xf numFmtId="1" fontId="14" fillId="2" borderId="0" xfId="0" applyNumberFormat="1" applyFont="1" applyFill="1" applyAlignment="1">
      <alignment horizontal="center" vertical="center" wrapText="1"/>
    </xf>
    <xf numFmtId="1" fontId="14" fillId="2" borderId="12" xfId="0" applyNumberFormat="1" applyFont="1" applyFill="1" applyBorder="1" applyAlignment="1">
      <alignment horizontal="center" vertical="center" wrapText="1"/>
    </xf>
    <xf numFmtId="0" fontId="15" fillId="2" borderId="11" xfId="0" applyFont="1" applyFill="1" applyBorder="1" applyAlignment="1">
      <alignment horizontal="center" vertical="top" wrapText="1"/>
    </xf>
    <xf numFmtId="0" fontId="15" fillId="2" borderId="0" xfId="0" applyFont="1" applyFill="1" applyAlignment="1">
      <alignment horizontal="center" vertical="top" wrapText="1"/>
    </xf>
    <xf numFmtId="0" fontId="15" fillId="2" borderId="12" xfId="0" applyFont="1" applyFill="1" applyBorder="1" applyAlignment="1">
      <alignment horizontal="center" vertical="top" wrapText="1"/>
    </xf>
    <xf numFmtId="0" fontId="15" fillId="2" borderId="9" xfId="0" applyFont="1" applyFill="1" applyBorder="1" applyAlignment="1">
      <alignment horizontal="center" vertical="top" wrapText="1"/>
    </xf>
    <xf numFmtId="0" fontId="15" fillId="2" borderId="6" xfId="0" applyFont="1" applyFill="1" applyBorder="1" applyAlignment="1">
      <alignment horizontal="center" vertical="top" wrapText="1"/>
    </xf>
    <xf numFmtId="0" fontId="15" fillId="2" borderId="7" xfId="0" applyFont="1" applyFill="1" applyBorder="1" applyAlignment="1">
      <alignment horizontal="center" vertical="top" wrapText="1"/>
    </xf>
    <xf numFmtId="0" fontId="14" fillId="2" borderId="11" xfId="0" applyFont="1" applyFill="1" applyBorder="1" applyAlignment="1">
      <alignment horizontal="center" vertical="center" wrapText="1"/>
    </xf>
    <xf numFmtId="0" fontId="14" fillId="2" borderId="0" xfId="0" applyFont="1" applyFill="1" applyAlignment="1">
      <alignment horizontal="center" vertical="center" wrapText="1"/>
    </xf>
    <xf numFmtId="0" fontId="14" fillId="2" borderId="12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wrapText="1"/>
    </xf>
    <xf numFmtId="0" fontId="14" fillId="2" borderId="8" xfId="0" applyFont="1" applyFill="1" applyBorder="1" applyAlignment="1">
      <alignment horizontal="center" wrapText="1"/>
    </xf>
    <xf numFmtId="0" fontId="14" fillId="2" borderId="5" xfId="0" applyFont="1" applyFill="1" applyBorder="1" applyAlignment="1">
      <alignment horizont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10" fillId="0" borderId="0" xfId="3" applyFont="1" applyAlignment="1">
      <alignment horizontal="center" vertical="center" wrapText="1"/>
    </xf>
    <xf numFmtId="0" fontId="4" fillId="0" borderId="0" xfId="3" applyFont="1" applyAlignment="1">
      <alignment horizontal="center" vertical="center" wrapText="1"/>
    </xf>
    <xf numFmtId="0" fontId="18" fillId="6" borderId="2" xfId="3" applyFont="1" applyFill="1" applyBorder="1" applyAlignment="1">
      <alignment horizontal="center" vertical="center" wrapText="1"/>
    </xf>
    <xf numFmtId="0" fontId="18" fillId="6" borderId="3" xfId="3" applyFont="1" applyFill="1" applyBorder="1" applyAlignment="1">
      <alignment horizontal="center" vertical="center" wrapText="1"/>
    </xf>
    <xf numFmtId="0" fontId="18" fillId="6" borderId="5" xfId="3" applyFont="1" applyFill="1" applyBorder="1" applyAlignment="1">
      <alignment horizontal="center" vertical="center" wrapText="1"/>
    </xf>
    <xf numFmtId="0" fontId="18" fillId="6" borderId="4" xfId="3" applyFont="1" applyFill="1" applyBorder="1" applyAlignment="1">
      <alignment horizontal="center" vertical="center" wrapText="1"/>
    </xf>
    <xf numFmtId="0" fontId="18" fillId="6" borderId="22" xfId="3" applyFont="1" applyFill="1" applyBorder="1" applyAlignment="1">
      <alignment horizontal="center" vertical="center" wrapText="1"/>
    </xf>
    <xf numFmtId="0" fontId="18" fillId="6" borderId="23" xfId="3" applyFont="1" applyFill="1" applyBorder="1" applyAlignment="1">
      <alignment horizontal="center" vertical="center" wrapText="1"/>
    </xf>
    <xf numFmtId="0" fontId="18" fillId="6" borderId="24" xfId="3" applyFont="1" applyFill="1" applyBorder="1" applyAlignment="1">
      <alignment horizontal="center" vertical="center" wrapText="1"/>
    </xf>
    <xf numFmtId="0" fontId="19" fillId="3" borderId="2" xfId="0" applyFont="1" applyFill="1" applyBorder="1" applyAlignment="1">
      <alignment horizontal="center" vertical="center" wrapText="1"/>
    </xf>
    <xf numFmtId="0" fontId="19" fillId="3" borderId="3" xfId="0" applyFont="1" applyFill="1" applyBorder="1" applyAlignment="1">
      <alignment horizontal="center" vertical="center" wrapText="1"/>
    </xf>
    <xf numFmtId="0" fontId="19" fillId="3" borderId="10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18" fillId="6" borderId="25" xfId="3" applyFont="1" applyFill="1" applyBorder="1" applyAlignment="1">
      <alignment horizontal="center" vertical="center" wrapText="1"/>
    </xf>
    <xf numFmtId="0" fontId="18" fillId="6" borderId="26" xfId="3" applyFont="1" applyFill="1" applyBorder="1" applyAlignment="1">
      <alignment horizontal="center" vertical="center" wrapText="1"/>
    </xf>
    <xf numFmtId="0" fontId="3" fillId="3" borderId="22" xfId="0" applyFont="1" applyFill="1" applyBorder="1" applyAlignment="1">
      <alignment horizontal="center" vertical="center" wrapText="1"/>
    </xf>
    <xf numFmtId="0" fontId="3" fillId="3" borderId="23" xfId="0" applyFont="1" applyFill="1" applyBorder="1" applyAlignment="1">
      <alignment horizontal="center" vertical="center" wrapText="1"/>
    </xf>
    <xf numFmtId="0" fontId="3" fillId="3" borderId="24" xfId="0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center" wrapText="1"/>
    </xf>
    <xf numFmtId="0" fontId="12" fillId="0" borderId="8" xfId="0" applyFont="1" applyBorder="1" applyAlignment="1">
      <alignment horizontal="center" wrapText="1"/>
    </xf>
    <xf numFmtId="0" fontId="12" fillId="0" borderId="11" xfId="0" applyFont="1" applyBorder="1" applyAlignment="1">
      <alignment horizontal="center" wrapText="1"/>
    </xf>
    <xf numFmtId="0" fontId="12" fillId="0" borderId="0" xfId="0" applyFont="1" applyAlignment="1">
      <alignment horizontal="center" wrapText="1"/>
    </xf>
    <xf numFmtId="0" fontId="5" fillId="0" borderId="14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3" fontId="1" fillId="0" borderId="14" xfId="0" applyNumberFormat="1" applyFont="1" applyBorder="1" applyAlignment="1">
      <alignment horizontal="center"/>
    </xf>
    <xf numFmtId="0" fontId="12" fillId="0" borderId="11" xfId="0" applyFont="1" applyBorder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1" fontId="14" fillId="5" borderId="11" xfId="0" applyNumberFormat="1" applyFont="1" applyFill="1" applyBorder="1" applyAlignment="1">
      <alignment horizontal="center" vertical="center" wrapText="1"/>
    </xf>
    <xf numFmtId="1" fontId="14" fillId="5" borderId="0" xfId="0" applyNumberFormat="1" applyFont="1" applyFill="1" applyAlignment="1">
      <alignment horizontal="center" vertical="center" wrapText="1"/>
    </xf>
    <xf numFmtId="1" fontId="14" fillId="5" borderId="12" xfId="0" applyNumberFormat="1" applyFont="1" applyFill="1" applyBorder="1" applyAlignment="1">
      <alignment horizontal="center" vertical="center" wrapText="1"/>
    </xf>
    <xf numFmtId="0" fontId="15" fillId="5" borderId="9" xfId="0" applyFont="1" applyFill="1" applyBorder="1" applyAlignment="1">
      <alignment horizontal="center" vertical="top" wrapText="1"/>
    </xf>
    <xf numFmtId="0" fontId="15" fillId="5" borderId="6" xfId="0" applyFont="1" applyFill="1" applyBorder="1" applyAlignment="1">
      <alignment horizontal="center" vertical="top" wrapText="1"/>
    </xf>
    <xf numFmtId="0" fontId="15" fillId="5" borderId="7" xfId="0" applyFont="1" applyFill="1" applyBorder="1" applyAlignment="1">
      <alignment horizontal="center" vertical="top" wrapText="1"/>
    </xf>
    <xf numFmtId="0" fontId="18" fillId="6" borderId="10" xfId="3" applyFont="1" applyFill="1" applyBorder="1" applyAlignment="1">
      <alignment horizontal="center" vertical="center" wrapText="1"/>
    </xf>
    <xf numFmtId="0" fontId="18" fillId="6" borderId="9" xfId="3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 wrapText="1"/>
    </xf>
    <xf numFmtId="0" fontId="14" fillId="5" borderId="8" xfId="0" applyFont="1" applyFill="1" applyBorder="1" applyAlignment="1">
      <alignment horizontal="center" wrapText="1"/>
    </xf>
    <xf numFmtId="0" fontId="14" fillId="5" borderId="5" xfId="0" applyFont="1" applyFill="1" applyBorder="1" applyAlignment="1">
      <alignment horizontal="center" wrapText="1"/>
    </xf>
  </cellXfs>
  <cellStyles count="6">
    <cellStyle name="Comma" xfId="5" builtinId="3"/>
    <cellStyle name="Normal" xfId="0" builtinId="0"/>
    <cellStyle name="Normal 2" xfId="1" xr:uid="{00000000-0005-0000-0000-000003000000}"/>
    <cellStyle name="Normal 3" xfId="2" xr:uid="{00000000-0005-0000-0000-000004000000}"/>
    <cellStyle name="Normal 4" xfId="3" xr:uid="{00000000-0005-0000-0000-000005000000}"/>
    <cellStyle name="Normal 5" xfId="4" xr:uid="{00000000-0005-0000-0000-000006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CC"/>
      <color rgb="FFF745B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1CE6B-8D50-4F7C-92AA-F3EE08FFD50A}">
  <sheetPr>
    <tabColor rgb="FF00B050"/>
    <pageSetUpPr fitToPage="1"/>
  </sheetPr>
  <dimension ref="B1:DI34"/>
  <sheetViews>
    <sheetView showGridLines="0" zoomScale="80" zoomScaleNormal="80" zoomScaleSheetLayoutView="70" zoomScalePageLayoutView="73" workbookViewId="0">
      <selection activeCell="G14" sqref="G14:I14"/>
    </sheetView>
  </sheetViews>
  <sheetFormatPr defaultColWidth="5.5703125" defaultRowHeight="26.1" customHeight="1"/>
  <cols>
    <col min="1" max="1" width="5.5703125" style="1"/>
    <col min="2" max="2" width="12.28515625" style="1" bestFit="1" customWidth="1"/>
    <col min="3" max="3" width="12.28515625" style="1" customWidth="1"/>
    <col min="4" max="4" width="13.28515625" style="1" bestFit="1" customWidth="1"/>
    <col min="5" max="5" width="12.28515625" style="1" bestFit="1" customWidth="1"/>
    <col min="6" max="9" width="11.42578125" style="1" bestFit="1" customWidth="1"/>
    <col min="10" max="12" width="12.42578125" style="1" customWidth="1"/>
    <col min="13" max="13" width="11.42578125" style="1" bestFit="1" customWidth="1"/>
    <col min="14" max="14" width="13" style="1" bestFit="1" customWidth="1"/>
    <col min="15" max="41" width="11.42578125" style="1" bestFit="1" customWidth="1"/>
    <col min="42" max="42" width="12.28515625" style="1" bestFit="1" customWidth="1"/>
    <col min="43" max="43" width="11.42578125" style="1" bestFit="1" customWidth="1"/>
    <col min="44" max="44" width="12.28515625" style="1" bestFit="1" customWidth="1"/>
    <col min="45" max="49" width="11.42578125" style="1" bestFit="1" customWidth="1"/>
    <col min="50" max="52" width="12.5703125" style="1" customWidth="1"/>
    <col min="53" max="53" width="14.28515625" style="1" customWidth="1"/>
    <col min="54" max="55" width="5.5703125" style="1"/>
    <col min="56" max="56" width="13" style="1" bestFit="1" customWidth="1"/>
    <col min="57" max="16384" width="5.5703125" style="1"/>
  </cols>
  <sheetData>
    <row r="1" spans="2:113" ht="26.1" customHeight="1">
      <c r="B1" s="113" t="s">
        <v>0</v>
      </c>
      <c r="C1" s="113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  <c r="AR1" s="114"/>
      <c r="AS1" s="114"/>
      <c r="AT1" s="114"/>
      <c r="AU1" s="114"/>
      <c r="AV1" s="114"/>
      <c r="AW1" s="114"/>
      <c r="AX1" s="114"/>
      <c r="AY1" s="114"/>
      <c r="AZ1" s="114"/>
      <c r="BA1" s="114"/>
    </row>
    <row r="2" spans="2:113" s="13" customFormat="1" ht="26.1" customHeight="1">
      <c r="B2" s="115" t="s">
        <v>1</v>
      </c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51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18" t="s">
        <v>2</v>
      </c>
      <c r="AC2" s="116"/>
      <c r="AD2" s="116"/>
      <c r="AE2" s="116"/>
      <c r="AF2" s="116"/>
      <c r="AG2" s="116"/>
      <c r="AH2" s="116"/>
      <c r="AI2" s="116"/>
      <c r="AJ2" s="116"/>
      <c r="AK2" s="116"/>
      <c r="AL2" s="116"/>
      <c r="AM2" s="116"/>
      <c r="AN2" s="116"/>
      <c r="AO2" s="151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</row>
    <row r="3" spans="2:113" s="13" customFormat="1" ht="26.1" customHeight="1"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52" t="s">
        <v>3</v>
      </c>
      <c r="P3" s="116"/>
      <c r="Q3" s="116"/>
      <c r="R3" s="116"/>
      <c r="S3" s="116"/>
      <c r="T3" s="116"/>
      <c r="U3" s="116"/>
      <c r="V3" s="116"/>
      <c r="W3" s="116"/>
      <c r="X3" s="116"/>
      <c r="Y3" s="116"/>
      <c r="Z3" s="116"/>
      <c r="AA3" s="116"/>
      <c r="AB3" s="151"/>
      <c r="AC3" s="41"/>
      <c r="AD3" s="42"/>
      <c r="AE3" s="42"/>
      <c r="AF3" s="42"/>
      <c r="AG3" s="42"/>
      <c r="AH3" s="42"/>
      <c r="AI3" s="42"/>
      <c r="AJ3" s="42"/>
      <c r="AK3" s="42"/>
      <c r="AL3" s="42"/>
      <c r="AM3" s="42"/>
      <c r="AN3" s="42"/>
      <c r="AO3" s="115" t="s">
        <v>4</v>
      </c>
      <c r="AP3" s="116"/>
      <c r="AQ3" s="116"/>
      <c r="AR3" s="116"/>
      <c r="AS3" s="116"/>
      <c r="AT3" s="116"/>
      <c r="AU3" s="116"/>
      <c r="AV3" s="116"/>
      <c r="AW3" s="116"/>
      <c r="AX3" s="116"/>
      <c r="AY3" s="116"/>
      <c r="AZ3" s="116"/>
      <c r="BA3" s="151"/>
    </row>
    <row r="4" spans="2:113" ht="26.1" customHeight="1">
      <c r="B4" s="72" t="s">
        <v>5</v>
      </c>
      <c r="C4" s="122" t="s">
        <v>6</v>
      </c>
      <c r="D4" s="123"/>
      <c r="E4" s="123"/>
      <c r="F4" s="124"/>
      <c r="G4" s="125" t="s">
        <v>7</v>
      </c>
      <c r="H4" s="125"/>
      <c r="I4" s="125"/>
      <c r="J4" s="125"/>
      <c r="K4" s="126" t="s">
        <v>8</v>
      </c>
      <c r="L4" s="127"/>
      <c r="M4" s="127"/>
      <c r="N4" s="127"/>
      <c r="O4" s="129"/>
      <c r="P4" s="126" t="s">
        <v>9</v>
      </c>
      <c r="Q4" s="127"/>
      <c r="R4" s="127"/>
      <c r="S4" s="129"/>
      <c r="T4" s="125" t="s">
        <v>10</v>
      </c>
      <c r="U4" s="125"/>
      <c r="V4" s="125"/>
      <c r="W4" s="125"/>
      <c r="X4" s="126" t="s">
        <v>11</v>
      </c>
      <c r="Y4" s="127"/>
      <c r="Z4" s="127"/>
      <c r="AA4" s="127"/>
      <c r="AB4" s="129"/>
      <c r="AC4" s="126" t="s">
        <v>12</v>
      </c>
      <c r="AD4" s="127"/>
      <c r="AE4" s="127"/>
      <c r="AF4" s="129"/>
      <c r="AG4" s="126" t="s">
        <v>13</v>
      </c>
      <c r="AH4" s="127"/>
      <c r="AI4" s="127"/>
      <c r="AJ4" s="127"/>
      <c r="AK4" s="126" t="s">
        <v>14</v>
      </c>
      <c r="AL4" s="127"/>
      <c r="AM4" s="127"/>
      <c r="AN4" s="127"/>
      <c r="AO4" s="129"/>
      <c r="AP4" s="125" t="s">
        <v>15</v>
      </c>
      <c r="AQ4" s="125"/>
      <c r="AR4" s="125"/>
      <c r="AS4" s="125"/>
      <c r="AT4" s="126" t="s">
        <v>16</v>
      </c>
      <c r="AU4" s="127"/>
      <c r="AV4" s="127"/>
      <c r="AW4" s="127"/>
      <c r="AX4" s="126" t="s">
        <v>5</v>
      </c>
      <c r="AY4" s="127"/>
      <c r="AZ4" s="127"/>
      <c r="BA4" s="129"/>
      <c r="BB4"/>
    </row>
    <row r="5" spans="2:113" ht="21" customHeight="1">
      <c r="B5" s="37">
        <v>30</v>
      </c>
      <c r="C5" s="5">
        <v>6</v>
      </c>
      <c r="D5" s="8">
        <v>13</v>
      </c>
      <c r="E5" s="8">
        <v>20</v>
      </c>
      <c r="F5" s="26">
        <v>27</v>
      </c>
      <c r="G5" s="26">
        <v>3</v>
      </c>
      <c r="H5" s="26">
        <v>10</v>
      </c>
      <c r="I5" s="26">
        <v>17</v>
      </c>
      <c r="J5" s="26">
        <v>24</v>
      </c>
      <c r="K5" s="26">
        <v>3</v>
      </c>
      <c r="L5" s="26">
        <v>10</v>
      </c>
      <c r="M5" s="26">
        <v>17</v>
      </c>
      <c r="N5" s="26">
        <v>24</v>
      </c>
      <c r="O5" s="26">
        <v>31</v>
      </c>
      <c r="P5" s="26">
        <v>7</v>
      </c>
      <c r="Q5" s="26">
        <v>14</v>
      </c>
      <c r="R5" s="26">
        <v>21</v>
      </c>
      <c r="S5" s="26">
        <v>28</v>
      </c>
      <c r="T5" s="26">
        <v>5</v>
      </c>
      <c r="U5" s="35">
        <v>12</v>
      </c>
      <c r="V5" s="26">
        <v>19</v>
      </c>
      <c r="W5" s="26">
        <v>26</v>
      </c>
      <c r="X5" s="26">
        <v>2</v>
      </c>
      <c r="Y5" s="26">
        <v>9</v>
      </c>
      <c r="Z5" s="26">
        <v>14</v>
      </c>
      <c r="AA5" s="26">
        <v>23</v>
      </c>
      <c r="AB5" s="26">
        <v>30</v>
      </c>
      <c r="AC5" s="26">
        <v>7</v>
      </c>
      <c r="AD5" s="26">
        <v>14</v>
      </c>
      <c r="AE5" s="26">
        <v>21</v>
      </c>
      <c r="AF5" s="26">
        <v>28</v>
      </c>
      <c r="AG5" s="26">
        <v>4</v>
      </c>
      <c r="AH5" s="26">
        <v>11</v>
      </c>
      <c r="AI5" s="26">
        <v>18</v>
      </c>
      <c r="AJ5" s="26">
        <v>25</v>
      </c>
      <c r="AK5" s="26">
        <v>1</v>
      </c>
      <c r="AL5" s="26">
        <v>8</v>
      </c>
      <c r="AM5" s="26">
        <v>15</v>
      </c>
      <c r="AN5" s="26">
        <v>22</v>
      </c>
      <c r="AO5" s="26">
        <v>29</v>
      </c>
      <c r="AP5" s="26">
        <v>6</v>
      </c>
      <c r="AQ5" s="26">
        <v>13</v>
      </c>
      <c r="AR5" s="26">
        <v>20</v>
      </c>
      <c r="AS5" s="26">
        <v>27</v>
      </c>
      <c r="AT5" s="26">
        <v>3</v>
      </c>
      <c r="AU5" s="26">
        <v>10</v>
      </c>
      <c r="AV5" s="26">
        <v>17</v>
      </c>
      <c r="AW5" s="26">
        <v>24</v>
      </c>
      <c r="AX5" s="36">
        <v>1</v>
      </c>
      <c r="AY5" s="26">
        <v>8</v>
      </c>
      <c r="AZ5" s="26">
        <v>15</v>
      </c>
      <c r="BA5" s="26">
        <v>22</v>
      </c>
      <c r="BD5" s="9"/>
    </row>
    <row r="6" spans="2:113" s="2" customFormat="1" ht="42" customHeight="1">
      <c r="B6" s="107" t="s">
        <v>17</v>
      </c>
      <c r="C6" s="108"/>
      <c r="D6" s="107" t="s">
        <v>18</v>
      </c>
      <c r="E6" s="108"/>
      <c r="F6" s="107" t="s">
        <v>19</v>
      </c>
      <c r="G6" s="108"/>
      <c r="H6" s="108"/>
      <c r="I6" s="108"/>
      <c r="J6" s="108"/>
      <c r="K6" s="109"/>
      <c r="L6" s="107" t="s">
        <v>20</v>
      </c>
      <c r="M6" s="108"/>
      <c r="N6" s="109"/>
      <c r="O6" s="153" t="s">
        <v>21</v>
      </c>
      <c r="P6" s="154"/>
      <c r="Q6" s="154"/>
      <c r="R6" s="155"/>
      <c r="S6" s="107" t="s">
        <v>22</v>
      </c>
      <c r="T6" s="108"/>
      <c r="U6" s="108"/>
      <c r="V6" s="108"/>
      <c r="W6" s="109"/>
      <c r="X6" s="107" t="s">
        <v>23</v>
      </c>
      <c r="Y6" s="108"/>
      <c r="Z6" s="108"/>
      <c r="AA6" s="108"/>
      <c r="AB6" s="109"/>
      <c r="AC6" s="107" t="s">
        <v>24</v>
      </c>
      <c r="AD6" s="108"/>
      <c r="AE6" s="108"/>
      <c r="AF6" s="108"/>
      <c r="AG6" s="109"/>
      <c r="AH6" s="107" t="s">
        <v>25</v>
      </c>
      <c r="AI6" s="108"/>
      <c r="AJ6" s="108"/>
      <c r="AK6" s="108"/>
      <c r="AL6" s="109"/>
      <c r="AM6" s="107" t="s">
        <v>26</v>
      </c>
      <c r="AN6" s="108"/>
      <c r="AO6" s="108"/>
      <c r="AP6" s="108"/>
      <c r="AQ6" s="109"/>
      <c r="AR6" s="107" t="s">
        <v>27</v>
      </c>
      <c r="AS6" s="109"/>
      <c r="AT6" s="107" t="s">
        <v>28</v>
      </c>
      <c r="AU6" s="108"/>
      <c r="AV6" s="108"/>
      <c r="AW6" s="108"/>
      <c r="AX6" s="109"/>
      <c r="AY6" s="107" t="s">
        <v>29</v>
      </c>
      <c r="AZ6" s="108"/>
      <c r="BA6" s="109"/>
      <c r="BF6"/>
      <c r="BG6"/>
      <c r="BH6"/>
      <c r="BI6"/>
      <c r="BJ6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</row>
    <row r="7" spans="2:113" s="2" customFormat="1" ht="42" customHeight="1">
      <c r="B7" s="95" t="str">
        <f>ROUND(SUM(B12:C12),0)&amp; " GRPs"</f>
        <v>102 GRPs</v>
      </c>
      <c r="C7" s="96"/>
      <c r="D7" s="95" t="str">
        <f>ROUND(SUM(D12:E12),0)&amp; " GRPs"</f>
        <v>204 GRPs</v>
      </c>
      <c r="E7" s="96"/>
      <c r="F7" s="95" t="str">
        <f>ROUND(SUM(F12:K12),0)&amp; " GRPs"</f>
        <v>960 GRPs</v>
      </c>
      <c r="G7" s="96"/>
      <c r="H7" s="96"/>
      <c r="I7" s="96"/>
      <c r="J7" s="96"/>
      <c r="K7" s="97"/>
      <c r="L7" s="95" t="str">
        <f>ROUND(SUM(L12:N12),0)&amp; " GRPs"</f>
        <v>480 GRPs</v>
      </c>
      <c r="M7" s="96"/>
      <c r="N7" s="97"/>
      <c r="O7" s="145" t="str">
        <f>ROUND(SUM(O12:R12),0)&amp; " GRPs"</f>
        <v>500 GRPs</v>
      </c>
      <c r="P7" s="146"/>
      <c r="Q7" s="146"/>
      <c r="R7" s="147"/>
      <c r="S7" s="95" t="str">
        <f>ROUND(SUM(S12:W12),0)&amp; " GRPs"</f>
        <v>800 GRPs</v>
      </c>
      <c r="T7" s="96"/>
      <c r="U7" s="96"/>
      <c r="V7" s="96"/>
      <c r="W7" s="97"/>
      <c r="X7" s="95" t="str">
        <f>ROUND(SUM(X12:AB12),0)&amp; " GRPs"</f>
        <v>800 GRPs</v>
      </c>
      <c r="Y7" s="96"/>
      <c r="Z7" s="96"/>
      <c r="AA7" s="96"/>
      <c r="AB7" s="97"/>
      <c r="AC7" s="95" t="str">
        <f>ROUND(SUM(AC12:AG12),0)&amp; " GRPs"</f>
        <v>800 GRPs</v>
      </c>
      <c r="AD7" s="96"/>
      <c r="AE7" s="96"/>
      <c r="AF7" s="96"/>
      <c r="AG7" s="97"/>
      <c r="AH7" s="95" t="str">
        <f>ROUND(SUM(AH12:AL12),0)&amp; " GRPs"</f>
        <v>685 GRPs</v>
      </c>
      <c r="AI7" s="96"/>
      <c r="AJ7" s="96"/>
      <c r="AK7" s="96"/>
      <c r="AL7" s="97"/>
      <c r="AM7" s="104" t="str">
        <f>ROUND(SUM(AM12:AQ12),0)&amp; " GRPs"</f>
        <v>680 GRPs</v>
      </c>
      <c r="AN7" s="105"/>
      <c r="AO7" s="105"/>
      <c r="AP7" s="105"/>
      <c r="AQ7" s="106"/>
      <c r="AR7" s="95" t="str">
        <f>ROUND(SUM(AR12:AS12),0)&amp; " GRPs"</f>
        <v>274 GRPs</v>
      </c>
      <c r="AS7" s="97"/>
      <c r="AT7" s="104" t="str">
        <f>ROUND(SUM(AT12:AX12),0)&amp; " GRPs"</f>
        <v>685 GRPs</v>
      </c>
      <c r="AU7" s="105"/>
      <c r="AV7" s="105"/>
      <c r="AW7" s="105"/>
      <c r="AX7" s="106"/>
      <c r="AY7" s="95" t="str">
        <f>ROUND(SUM(AY12:BA12),0)&amp; " GRPs"</f>
        <v>640 GRPs</v>
      </c>
      <c r="AZ7" s="96"/>
      <c r="BA7" s="97"/>
      <c r="BD7" s="10"/>
      <c r="BF7"/>
      <c r="BG7"/>
      <c r="BH7"/>
      <c r="BI7"/>
      <c r="BJ7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</row>
    <row r="8" spans="2:113" s="2" customFormat="1" ht="47.25" customHeight="1">
      <c r="B8" s="101" t="s">
        <v>30</v>
      </c>
      <c r="C8" s="102"/>
      <c r="D8" s="101" t="s">
        <v>30</v>
      </c>
      <c r="E8" s="102"/>
      <c r="F8" s="101" t="s">
        <v>30</v>
      </c>
      <c r="G8" s="102"/>
      <c r="H8" s="102"/>
      <c r="I8" s="102"/>
      <c r="J8" s="102"/>
      <c r="K8" s="103"/>
      <c r="L8" s="101" t="s">
        <v>30</v>
      </c>
      <c r="M8" s="102"/>
      <c r="N8" s="103"/>
      <c r="O8" s="148" t="s">
        <v>30</v>
      </c>
      <c r="P8" s="149"/>
      <c r="Q8" s="149"/>
      <c r="R8" s="150"/>
      <c r="S8" s="101" t="s">
        <v>30</v>
      </c>
      <c r="T8" s="102"/>
      <c r="U8" s="102"/>
      <c r="V8" s="102"/>
      <c r="W8" s="103"/>
      <c r="X8" s="101" t="s">
        <v>30</v>
      </c>
      <c r="Y8" s="102"/>
      <c r="Z8" s="102"/>
      <c r="AA8" s="102"/>
      <c r="AB8" s="103"/>
      <c r="AC8" s="101" t="s">
        <v>30</v>
      </c>
      <c r="AD8" s="102"/>
      <c r="AE8" s="102"/>
      <c r="AF8" s="102"/>
      <c r="AG8" s="103"/>
      <c r="AH8" s="101" t="s">
        <v>30</v>
      </c>
      <c r="AI8" s="102"/>
      <c r="AJ8" s="102"/>
      <c r="AK8" s="102"/>
      <c r="AL8" s="103"/>
      <c r="AM8" s="101" t="s">
        <v>30</v>
      </c>
      <c r="AN8" s="102"/>
      <c r="AO8" s="102"/>
      <c r="AP8" s="102"/>
      <c r="AQ8" s="103"/>
      <c r="AR8" s="101" t="s">
        <v>30</v>
      </c>
      <c r="AS8" s="102"/>
      <c r="AT8" s="101" t="s">
        <v>30</v>
      </c>
      <c r="AU8" s="102"/>
      <c r="AV8" s="102"/>
      <c r="AW8" s="102"/>
      <c r="AX8" s="103"/>
      <c r="AY8" s="101" t="s">
        <v>30</v>
      </c>
      <c r="AZ8" s="102"/>
      <c r="BA8" s="103"/>
      <c r="BF8"/>
      <c r="BG8"/>
      <c r="BH8"/>
      <c r="BI8"/>
      <c r="BJ8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</row>
    <row r="9" spans="2:113" s="15" customFormat="1" ht="16.149999999999999" customHeight="1">
      <c r="B9" s="63" t="s">
        <v>31</v>
      </c>
      <c r="C9" s="21">
        <v>94.440002419999999</v>
      </c>
      <c r="D9" s="63" t="s">
        <v>31</v>
      </c>
      <c r="E9" s="21">
        <v>188.88</v>
      </c>
      <c r="F9" s="135" t="s">
        <v>31</v>
      </c>
      <c r="G9" s="136"/>
      <c r="H9" s="136"/>
      <c r="I9" s="136"/>
      <c r="J9" s="136"/>
      <c r="K9" s="21">
        <v>798</v>
      </c>
      <c r="L9" s="135" t="s">
        <v>31</v>
      </c>
      <c r="M9" s="136"/>
      <c r="N9" s="25">
        <v>399.43650242109999</v>
      </c>
      <c r="O9" s="137" t="s">
        <v>31</v>
      </c>
      <c r="P9" s="138"/>
      <c r="Q9" s="138"/>
      <c r="R9" s="25">
        <v>420.26350000000002</v>
      </c>
      <c r="S9" s="135" t="s">
        <v>31</v>
      </c>
      <c r="T9" s="136"/>
      <c r="U9" s="136"/>
      <c r="V9" s="136"/>
      <c r="W9" s="25">
        <v>665</v>
      </c>
      <c r="X9" s="137" t="s">
        <v>31</v>
      </c>
      <c r="Y9" s="138"/>
      <c r="Z9" s="138"/>
      <c r="AA9" s="138"/>
      <c r="AB9" s="25">
        <v>665.00000000000989</v>
      </c>
      <c r="AC9" s="137" t="s">
        <v>31</v>
      </c>
      <c r="AD9" s="138"/>
      <c r="AE9" s="138"/>
      <c r="AF9" s="138"/>
      <c r="AG9" s="25">
        <v>665</v>
      </c>
      <c r="AH9" s="137" t="s">
        <v>31</v>
      </c>
      <c r="AI9" s="138"/>
      <c r="AJ9" s="138"/>
      <c r="AK9" s="138"/>
      <c r="AL9" s="25">
        <v>572.99991525954999</v>
      </c>
      <c r="AM9" s="135" t="s">
        <v>31</v>
      </c>
      <c r="AN9" s="136"/>
      <c r="AO9" s="136"/>
      <c r="AP9" s="136"/>
      <c r="AQ9" s="25">
        <v>567.97350000001995</v>
      </c>
      <c r="AR9" s="67" t="s">
        <v>31</v>
      </c>
      <c r="AS9" s="39">
        <v>229.19998547307003</v>
      </c>
      <c r="AT9" s="135" t="s">
        <v>31</v>
      </c>
      <c r="AU9" s="136"/>
      <c r="AV9" s="136"/>
      <c r="AW9" s="136"/>
      <c r="AX9" s="21">
        <v>572.99996369999997</v>
      </c>
      <c r="AY9" s="135" t="s">
        <v>31</v>
      </c>
      <c r="AZ9" s="136"/>
      <c r="BA9" s="25">
        <v>532</v>
      </c>
      <c r="BF9"/>
      <c r="BG9"/>
      <c r="BH9"/>
      <c r="BI9"/>
      <c r="BJ9"/>
    </row>
    <row r="10" spans="2:113" s="4" customFormat="1" ht="16.149999999999999" customHeight="1">
      <c r="B10" s="67" t="s">
        <v>32</v>
      </c>
      <c r="C10" s="20">
        <v>7.4667000000000003</v>
      </c>
      <c r="D10" s="67" t="s">
        <v>32</v>
      </c>
      <c r="E10" s="20">
        <v>14.933299999999999</v>
      </c>
      <c r="F10" s="143" t="s">
        <v>32</v>
      </c>
      <c r="G10" s="144"/>
      <c r="H10" s="144"/>
      <c r="I10" s="144"/>
      <c r="J10" s="144"/>
      <c r="K10" s="20">
        <v>162</v>
      </c>
      <c r="L10" s="143" t="s">
        <v>32</v>
      </c>
      <c r="M10" s="144"/>
      <c r="N10" s="20">
        <v>80.961999999989999</v>
      </c>
      <c r="O10" s="91" t="s">
        <v>32</v>
      </c>
      <c r="P10" s="92"/>
      <c r="Q10" s="92"/>
      <c r="R10" s="20">
        <v>80.000200000000007</v>
      </c>
      <c r="S10" s="143" t="s">
        <v>32</v>
      </c>
      <c r="T10" s="144"/>
      <c r="U10" s="144"/>
      <c r="V10" s="144"/>
      <c r="W10" s="20">
        <v>135</v>
      </c>
      <c r="X10" s="137" t="s">
        <v>32</v>
      </c>
      <c r="Y10" s="138"/>
      <c r="Z10" s="138"/>
      <c r="AA10" s="138"/>
      <c r="AB10" s="20">
        <v>135</v>
      </c>
      <c r="AC10" s="137" t="s">
        <v>32</v>
      </c>
      <c r="AD10" s="138"/>
      <c r="AE10" s="138"/>
      <c r="AF10" s="138"/>
      <c r="AG10" s="20">
        <v>135</v>
      </c>
      <c r="AH10" s="137" t="s">
        <v>32</v>
      </c>
      <c r="AI10" s="138"/>
      <c r="AJ10" s="138"/>
      <c r="AK10" s="138"/>
      <c r="AL10" s="20">
        <v>111.99999999999999</v>
      </c>
      <c r="AM10" s="137" t="s">
        <v>32</v>
      </c>
      <c r="AN10" s="138"/>
      <c r="AO10" s="138"/>
      <c r="AP10" s="138"/>
      <c r="AQ10" s="20">
        <v>112.25670000001</v>
      </c>
      <c r="AR10" s="70" t="s">
        <v>32</v>
      </c>
      <c r="AS10" s="40">
        <v>44.8</v>
      </c>
      <c r="AT10" s="143" t="s">
        <v>32</v>
      </c>
      <c r="AU10" s="144"/>
      <c r="AV10" s="144"/>
      <c r="AW10" s="144"/>
      <c r="AX10" s="20">
        <v>111.99999999999999</v>
      </c>
      <c r="AY10" s="91" t="s">
        <v>32</v>
      </c>
      <c r="AZ10" s="92"/>
      <c r="BA10" s="20">
        <v>108</v>
      </c>
      <c r="BF10" s="16"/>
      <c r="BG10" s="16"/>
      <c r="BH10" s="16"/>
      <c r="BI10" s="16"/>
      <c r="BJ10" s="16"/>
    </row>
    <row r="11" spans="2:113" s="4" customFormat="1" ht="16.149999999999999" customHeight="1">
      <c r="B11" s="68"/>
      <c r="C11" s="27"/>
      <c r="D11" s="68"/>
      <c r="E11" s="27"/>
      <c r="F11" s="32"/>
      <c r="H11" s="31"/>
      <c r="I11" s="31"/>
      <c r="J11" s="31"/>
      <c r="L11" s="70"/>
      <c r="M11" s="71"/>
      <c r="N11" s="20"/>
      <c r="O11" s="88"/>
      <c r="P11" s="89"/>
      <c r="Q11" s="89"/>
      <c r="R11" s="30"/>
      <c r="S11" s="28"/>
      <c r="T11" s="31"/>
      <c r="U11" s="31"/>
      <c r="V11" s="69"/>
      <c r="W11" s="69"/>
      <c r="X11" s="137"/>
      <c r="Y11" s="138"/>
      <c r="Z11" s="138"/>
      <c r="AA11" s="138"/>
      <c r="AB11" s="33"/>
      <c r="AC11" s="34"/>
      <c r="AD11" s="65"/>
      <c r="AE11" s="43"/>
      <c r="AF11" s="43"/>
      <c r="AG11" s="29"/>
      <c r="AH11" s="70"/>
      <c r="AI11" s="71"/>
      <c r="AJ11" s="44"/>
      <c r="AK11" s="71"/>
      <c r="AL11" s="19"/>
      <c r="AM11" s="68"/>
      <c r="AN11" s="71"/>
      <c r="AO11" s="40"/>
      <c r="AP11" s="40"/>
      <c r="AQ11" s="20"/>
      <c r="AR11" s="64"/>
      <c r="AS11" s="45"/>
      <c r="AT11" s="68"/>
      <c r="AU11" s="69"/>
      <c r="AV11" s="38"/>
      <c r="AW11" s="38"/>
      <c r="AX11" s="27"/>
      <c r="AY11" s="88"/>
      <c r="AZ11" s="89"/>
      <c r="BA11" s="27"/>
      <c r="BF11" s="16"/>
      <c r="BG11" s="16"/>
      <c r="BH11" s="16"/>
      <c r="BI11" s="16"/>
      <c r="BJ11" s="16"/>
    </row>
    <row r="12" spans="2:113" s="24" customFormat="1" ht="16.350000000000001" customHeight="1">
      <c r="B12" s="22">
        <v>50.120017795999999</v>
      </c>
      <c r="C12" s="22">
        <v>51.786684623999996</v>
      </c>
      <c r="D12" s="22">
        <v>87.348557142860003</v>
      </c>
      <c r="E12" s="22">
        <v>116.46474285714</v>
      </c>
      <c r="F12" s="22">
        <v>137.14285714286001</v>
      </c>
      <c r="G12" s="22">
        <v>160</v>
      </c>
      <c r="H12" s="22">
        <v>160</v>
      </c>
      <c r="I12" s="22">
        <v>160</v>
      </c>
      <c r="J12" s="22">
        <v>160</v>
      </c>
      <c r="K12" s="22">
        <v>182.85714285713999</v>
      </c>
      <c r="L12" s="22">
        <v>137.25671497746001</v>
      </c>
      <c r="M12" s="22">
        <v>160.13283414036999</v>
      </c>
      <c r="N12" s="22">
        <v>183.00895330326</v>
      </c>
      <c r="O12" s="22">
        <v>107.19936428570999</v>
      </c>
      <c r="P12" s="22">
        <v>125.06592500000001</v>
      </c>
      <c r="Q12" s="22">
        <v>125.06592500000001</v>
      </c>
      <c r="R12" s="22">
        <v>142.93248571429001</v>
      </c>
      <c r="S12" s="22">
        <v>137.14285714286001</v>
      </c>
      <c r="T12" s="22">
        <v>160</v>
      </c>
      <c r="U12" s="22">
        <v>160</v>
      </c>
      <c r="V12" s="22">
        <v>160</v>
      </c>
      <c r="W12" s="22">
        <v>182.85714285713999</v>
      </c>
      <c r="X12" s="22">
        <v>142.22222222222001</v>
      </c>
      <c r="Y12" s="22">
        <v>165.92592592592999</v>
      </c>
      <c r="Z12" s="22">
        <v>165.92592592592999</v>
      </c>
      <c r="AA12" s="22">
        <v>165.92592592592999</v>
      </c>
      <c r="AB12" s="22">
        <v>160</v>
      </c>
      <c r="AC12" s="22">
        <v>137.14285714286001</v>
      </c>
      <c r="AD12" s="22">
        <v>160</v>
      </c>
      <c r="AE12" s="22">
        <v>160</v>
      </c>
      <c r="AF12" s="22">
        <v>160</v>
      </c>
      <c r="AG12" s="22">
        <v>182.85714285713999</v>
      </c>
      <c r="AH12" s="22">
        <v>117.42855690164002</v>
      </c>
      <c r="AI12" s="22">
        <v>136.99998305190999</v>
      </c>
      <c r="AJ12" s="22">
        <v>136.99998305190999</v>
      </c>
      <c r="AK12" s="22">
        <v>136.99998305190999</v>
      </c>
      <c r="AL12" s="22">
        <v>156.57140920218001</v>
      </c>
      <c r="AM12" s="22">
        <v>138</v>
      </c>
      <c r="AN12" s="22">
        <v>161</v>
      </c>
      <c r="AO12" s="22">
        <v>121.30051818183</v>
      </c>
      <c r="AP12" s="22">
        <v>121.30051818183</v>
      </c>
      <c r="AQ12" s="22">
        <v>138.62916363637001</v>
      </c>
      <c r="AR12" s="22">
        <v>117.42856520274002</v>
      </c>
      <c r="AS12" s="22">
        <v>156.57142027033001</v>
      </c>
      <c r="AT12" s="22">
        <v>117.42856520571002</v>
      </c>
      <c r="AU12" s="22">
        <v>136.99999273999998</v>
      </c>
      <c r="AV12" s="22">
        <v>136.99999273999998</v>
      </c>
      <c r="AW12" s="22">
        <v>136.99999273999998</v>
      </c>
      <c r="AX12" s="22">
        <v>156.57142027428998</v>
      </c>
      <c r="AY12" s="22">
        <v>192</v>
      </c>
      <c r="AZ12" s="22">
        <v>224</v>
      </c>
      <c r="BA12" s="22">
        <v>224</v>
      </c>
      <c r="BB12" s="23"/>
    </row>
    <row r="13" spans="2:113" ht="14.1" customHeight="1" thickBot="1">
      <c r="B13" s="87"/>
      <c r="C13" s="87"/>
      <c r="D13" s="87"/>
      <c r="E13" s="87"/>
      <c r="F13" s="87"/>
      <c r="G13" s="87"/>
      <c r="H13" s="87"/>
      <c r="I13" s="87"/>
      <c r="J13" s="87"/>
      <c r="K13" s="87"/>
      <c r="L13" s="87"/>
      <c r="M13" s="87"/>
      <c r="N13" s="87"/>
      <c r="O13" s="87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  <c r="AA13" s="87"/>
      <c r="AB13" s="87"/>
      <c r="AC13" s="87"/>
      <c r="AD13" s="87"/>
      <c r="AE13" s="87"/>
      <c r="AF13" s="87"/>
      <c r="AG13" s="87"/>
      <c r="AH13" s="87"/>
      <c r="AI13" s="87"/>
      <c r="AJ13" s="87"/>
      <c r="AK13" s="87"/>
      <c r="AL13" s="87"/>
      <c r="AM13" s="87"/>
      <c r="AN13" s="87"/>
      <c r="AO13" s="87"/>
      <c r="AP13" s="87"/>
      <c r="AQ13" s="87"/>
      <c r="AR13" s="87"/>
      <c r="AS13" s="87"/>
      <c r="AT13" s="87"/>
      <c r="AU13" s="87"/>
      <c r="AV13" s="87"/>
      <c r="AW13" s="87"/>
      <c r="AX13" s="87"/>
      <c r="AY13" s="87"/>
      <c r="AZ13" s="87"/>
      <c r="BA13" s="90"/>
    </row>
    <row r="14" spans="2:113" ht="20.100000000000001" customHeight="1" thickBot="1">
      <c r="B14" s="139" t="s">
        <v>33</v>
      </c>
      <c r="C14" s="140"/>
      <c r="D14" s="140"/>
      <c r="E14" s="140"/>
      <c r="F14" s="141"/>
      <c r="G14" s="142">
        <f>SUM(C9:C11,E9:E11,K9:K11,N9:N11,R9:R11,W9:W11,AB9:AB11,AG9:AG11,AL9:AL11,AQ9:AQ11,AS9:AS11,AX9:AX11,BA9:BA11)</f>
        <v>7610.6122692737508</v>
      </c>
      <c r="H14" s="85"/>
      <c r="I14" s="86"/>
      <c r="AC14" s="17"/>
      <c r="AX14"/>
    </row>
    <row r="15" spans="2:113" ht="14.65" customHeight="1">
      <c r="Q15" s="12"/>
      <c r="AB15" s="17"/>
      <c r="AY15" s="18"/>
    </row>
    <row r="16" spans="2:113" ht="26.1" customHeight="1">
      <c r="B16" s="6"/>
      <c r="C16" s="6"/>
      <c r="D16" s="1" t="s">
        <v>34</v>
      </c>
    </row>
    <row r="17" spans="2:55" ht="26.1" customHeight="1">
      <c r="B17" s="7"/>
      <c r="C17" s="7"/>
      <c r="D17" s="1" t="s">
        <v>35</v>
      </c>
    </row>
    <row r="18" spans="2:55" ht="26.1" customHeight="1">
      <c r="BB18"/>
      <c r="BC18"/>
    </row>
    <row r="19" spans="2:55" ht="26.1" customHeight="1">
      <c r="BB19"/>
      <c r="BC19"/>
    </row>
    <row r="20" spans="2:55" ht="26.1" customHeight="1">
      <c r="BB20"/>
      <c r="BC20"/>
    </row>
    <row r="21" spans="2:55" ht="26.1" customHeight="1">
      <c r="N21" s="11"/>
      <c r="BB21"/>
      <c r="BC21"/>
    </row>
    <row r="22" spans="2:55" ht="26.1" customHeight="1">
      <c r="BB22"/>
      <c r="BC22"/>
    </row>
    <row r="23" spans="2:55" ht="26.1" customHeight="1">
      <c r="BB23"/>
      <c r="BC23"/>
    </row>
    <row r="24" spans="2:55" ht="26.1" customHeight="1">
      <c r="BB24"/>
      <c r="BC24"/>
    </row>
    <row r="25" spans="2:55" ht="26.1" customHeight="1">
      <c r="BB25"/>
      <c r="BC25"/>
    </row>
    <row r="26" spans="2:55" ht="26.1" customHeight="1">
      <c r="BB26"/>
      <c r="BC26"/>
    </row>
    <row r="27" spans="2:55" ht="26.1" customHeight="1">
      <c r="BB27"/>
      <c r="BC27"/>
    </row>
    <row r="28" spans="2:55" ht="26.1" customHeight="1">
      <c r="BB28"/>
      <c r="BC28"/>
    </row>
    <row r="29" spans="2:55" ht="26.1" customHeight="1">
      <c r="BB29"/>
      <c r="BC29"/>
    </row>
    <row r="30" spans="2:55" ht="26.1" customHeight="1">
      <c r="BB30"/>
      <c r="BC30"/>
    </row>
    <row r="31" spans="2:55" ht="26.1" customHeight="1">
      <c r="BB31"/>
      <c r="BC31"/>
    </row>
    <row r="32" spans="2:55" ht="26.1" customHeight="1">
      <c r="BB32"/>
      <c r="BC32"/>
    </row>
    <row r="33" spans="54:55" ht="26.1" customHeight="1">
      <c r="BB33"/>
      <c r="BC33"/>
    </row>
    <row r="34" spans="54:55" ht="26.1" customHeight="1">
      <c r="BB34"/>
      <c r="BC34"/>
    </row>
  </sheetData>
  <mergeCells count="94">
    <mergeCell ref="P4:S4"/>
    <mergeCell ref="AC10:AF10"/>
    <mergeCell ref="AT8:AX8"/>
    <mergeCell ref="AT9:AW9"/>
    <mergeCell ref="AT10:AW10"/>
    <mergeCell ref="AX4:BA4"/>
    <mergeCell ref="AT6:AX6"/>
    <mergeCell ref="AT7:AX7"/>
    <mergeCell ref="X6:AB6"/>
    <mergeCell ref="X7:AB7"/>
    <mergeCell ref="X8:AB8"/>
    <mergeCell ref="AC6:AG6"/>
    <mergeCell ref="AC7:AG7"/>
    <mergeCell ref="AC8:AG8"/>
    <mergeCell ref="AM6:AQ6"/>
    <mergeCell ref="AM7:AQ7"/>
    <mergeCell ref="C4:F4"/>
    <mergeCell ref="B6:C6"/>
    <mergeCell ref="B7:C7"/>
    <mergeCell ref="B8:C8"/>
    <mergeCell ref="D6:E6"/>
    <mergeCell ref="D7:E7"/>
    <mergeCell ref="D8:E8"/>
    <mergeCell ref="F6:K6"/>
    <mergeCell ref="F7:K7"/>
    <mergeCell ref="F8:K8"/>
    <mergeCell ref="K4:O4"/>
    <mergeCell ref="L6:N6"/>
    <mergeCell ref="L7:N7"/>
    <mergeCell ref="L8:N8"/>
    <mergeCell ref="G4:J4"/>
    <mergeCell ref="O6:R6"/>
    <mergeCell ref="AM8:AQ8"/>
    <mergeCell ref="AR6:AS6"/>
    <mergeCell ref="AH6:AL6"/>
    <mergeCell ref="AH7:AL7"/>
    <mergeCell ref="AR7:AS7"/>
    <mergeCell ref="AR8:AS8"/>
    <mergeCell ref="AH8:AL8"/>
    <mergeCell ref="B1:BA1"/>
    <mergeCell ref="B2:O2"/>
    <mergeCell ref="AB2:AO2"/>
    <mergeCell ref="O3:AB3"/>
    <mergeCell ref="AO3:BA3"/>
    <mergeCell ref="T4:W4"/>
    <mergeCell ref="AG4:AJ4"/>
    <mergeCell ref="AK4:AO4"/>
    <mergeCell ref="AP4:AS4"/>
    <mergeCell ref="AT4:AW4"/>
    <mergeCell ref="AC4:AF4"/>
    <mergeCell ref="X4:AB4"/>
    <mergeCell ref="O7:R7"/>
    <mergeCell ref="O8:R8"/>
    <mergeCell ref="S6:W6"/>
    <mergeCell ref="S7:W7"/>
    <mergeCell ref="S8:W8"/>
    <mergeCell ref="AB13:AG13"/>
    <mergeCell ref="AH13:AJ13"/>
    <mergeCell ref="O11:Q11"/>
    <mergeCell ref="F9:J9"/>
    <mergeCell ref="F10:J10"/>
    <mergeCell ref="L9:M9"/>
    <mergeCell ref="L10:M10"/>
    <mergeCell ref="O9:Q9"/>
    <mergeCell ref="O10:Q10"/>
    <mergeCell ref="S10:V10"/>
    <mergeCell ref="AH9:AK9"/>
    <mergeCell ref="AH10:AK10"/>
    <mergeCell ref="X9:AA9"/>
    <mergeCell ref="X10:AA10"/>
    <mergeCell ref="X11:AA11"/>
    <mergeCell ref="AC9:AF9"/>
    <mergeCell ref="U13:X13"/>
    <mergeCell ref="Y13:AA13"/>
    <mergeCell ref="S9:V9"/>
    <mergeCell ref="B14:F14"/>
    <mergeCell ref="G14:I14"/>
    <mergeCell ref="B13:D13"/>
    <mergeCell ref="E13:I13"/>
    <mergeCell ref="J13:K13"/>
    <mergeCell ref="L13:N13"/>
    <mergeCell ref="O13:T13"/>
    <mergeCell ref="AK13:AQ13"/>
    <mergeCell ref="AR13:AS13"/>
    <mergeCell ref="AT13:AW13"/>
    <mergeCell ref="AX13:BA13"/>
    <mergeCell ref="AM9:AP9"/>
    <mergeCell ref="AM10:AP10"/>
    <mergeCell ref="AY11:AZ11"/>
    <mergeCell ref="AY6:BA6"/>
    <mergeCell ref="AY7:BA7"/>
    <mergeCell ref="AY8:BA8"/>
    <mergeCell ref="AY9:AZ9"/>
    <mergeCell ref="AY10:AZ10"/>
  </mergeCells>
  <printOptions horizontalCentered="1"/>
  <pageMargins left="0" right="0" top="7.0000000000000007E-2" bottom="7.0000000000000007E-2" header="0" footer="0"/>
  <pageSetup scale="57" fitToHeight="0" orientation="landscape"/>
  <headerFooter alignWithMargins="0">
    <oddFooter>&amp;L&amp;BMcDonald's Corporation Confidential&amp;B&amp;C&amp;D&amp;RPage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2BDA5-3042-45B3-8989-A408E5E63BF1}">
  <sheetPr>
    <tabColor rgb="FF00B050"/>
    <pageSetUpPr fitToPage="1"/>
  </sheetPr>
  <dimension ref="B1:DI34"/>
  <sheetViews>
    <sheetView showGridLines="0" tabSelected="1" zoomScaleNormal="100" zoomScaleSheetLayoutView="70" zoomScalePageLayoutView="73" workbookViewId="0">
      <selection activeCell="G14" sqref="G14:I14"/>
    </sheetView>
  </sheetViews>
  <sheetFormatPr defaultColWidth="5.5703125" defaultRowHeight="26.1" customHeight="1"/>
  <cols>
    <col min="1" max="1" width="5.5703125" style="1"/>
    <col min="2" max="2" width="12.28515625" style="1" bestFit="1" customWidth="1"/>
    <col min="3" max="3" width="12.28515625" style="1" customWidth="1"/>
    <col min="4" max="4" width="13.28515625" style="1" bestFit="1" customWidth="1"/>
    <col min="5" max="5" width="12.28515625" style="1" bestFit="1" customWidth="1"/>
    <col min="6" max="9" width="11.42578125" style="1" bestFit="1" customWidth="1"/>
    <col min="10" max="12" width="12.42578125" style="1" customWidth="1"/>
    <col min="13" max="13" width="11.42578125" style="1" bestFit="1" customWidth="1"/>
    <col min="14" max="14" width="13" style="1" bestFit="1" customWidth="1"/>
    <col min="15" max="41" width="11.42578125" style="1" bestFit="1" customWidth="1"/>
    <col min="42" max="42" width="12.28515625" style="1" bestFit="1" customWidth="1"/>
    <col min="43" max="43" width="11.42578125" style="1" bestFit="1" customWidth="1"/>
    <col min="44" max="44" width="12.28515625" style="1" bestFit="1" customWidth="1"/>
    <col min="45" max="45" width="11.42578125" style="1" bestFit="1" customWidth="1"/>
    <col min="46" max="46" width="11.42578125" style="1" customWidth="1"/>
    <col min="47" max="49" width="11.42578125" style="1" bestFit="1" customWidth="1"/>
    <col min="50" max="51" width="12.5703125" style="1" customWidth="1"/>
    <col min="52" max="52" width="13.140625" style="1" customWidth="1"/>
    <col min="53" max="53" width="14.28515625" style="1" customWidth="1"/>
    <col min="54" max="54" width="13.85546875" style="1" customWidth="1"/>
    <col min="55" max="55" width="5.5703125" style="1"/>
    <col min="56" max="56" width="13" style="1" bestFit="1" customWidth="1"/>
    <col min="57" max="16384" width="5.5703125" style="1"/>
  </cols>
  <sheetData>
    <row r="1" spans="2:113" ht="26.1" customHeight="1">
      <c r="B1" s="113" t="s">
        <v>0</v>
      </c>
      <c r="C1" s="113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  <c r="AR1" s="114"/>
      <c r="AS1" s="114"/>
      <c r="AT1" s="114"/>
      <c r="AU1" s="114"/>
      <c r="AV1" s="114"/>
      <c r="AW1" s="114"/>
      <c r="AX1" s="114"/>
      <c r="AY1" s="114"/>
      <c r="AZ1" s="114"/>
      <c r="BA1" s="114"/>
    </row>
    <row r="2" spans="2:113" s="13" customFormat="1" ht="26.1" customHeight="1">
      <c r="B2" s="115" t="s">
        <v>1</v>
      </c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7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18" t="s">
        <v>2</v>
      </c>
      <c r="AC2" s="116"/>
      <c r="AD2" s="116"/>
      <c r="AE2" s="116"/>
      <c r="AF2" s="116"/>
      <c r="AG2" s="116"/>
      <c r="AH2" s="116"/>
      <c r="AI2" s="116"/>
      <c r="AJ2" s="116"/>
      <c r="AK2" s="116"/>
      <c r="AL2" s="116"/>
      <c r="AM2" s="116"/>
      <c r="AN2" s="116"/>
      <c r="AO2" s="117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</row>
    <row r="3" spans="2:113" s="13" customFormat="1" ht="26.1" customHeight="1"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19" t="s">
        <v>3</v>
      </c>
      <c r="P3" s="120"/>
      <c r="Q3" s="120"/>
      <c r="R3" s="120"/>
      <c r="S3" s="120"/>
      <c r="T3" s="120"/>
      <c r="U3" s="120"/>
      <c r="V3" s="120"/>
      <c r="W3" s="120"/>
      <c r="X3" s="120"/>
      <c r="Y3" s="120"/>
      <c r="Z3" s="120"/>
      <c r="AA3" s="120"/>
      <c r="AB3" s="121"/>
      <c r="AC3" s="42"/>
      <c r="AD3" s="42"/>
      <c r="AE3" s="42"/>
      <c r="AF3" s="42"/>
      <c r="AG3" s="42"/>
      <c r="AH3" s="42"/>
      <c r="AI3" s="42"/>
      <c r="AJ3" s="42"/>
      <c r="AK3" s="42"/>
      <c r="AL3" s="42"/>
      <c r="AM3" s="42"/>
      <c r="AN3" s="42"/>
      <c r="AO3" s="119" t="s">
        <v>4</v>
      </c>
      <c r="AP3" s="120"/>
      <c r="AQ3" s="120"/>
      <c r="AR3" s="120"/>
      <c r="AS3" s="120"/>
      <c r="AT3" s="120"/>
      <c r="AU3" s="120"/>
      <c r="AV3" s="120"/>
      <c r="AW3" s="120"/>
      <c r="AX3" s="130"/>
      <c r="AY3" s="130"/>
      <c r="AZ3" s="130"/>
      <c r="BA3" s="130"/>
      <c r="BB3" s="131"/>
    </row>
    <row r="4" spans="2:113" ht="26.1" customHeight="1">
      <c r="B4" s="72" t="s">
        <v>5</v>
      </c>
      <c r="C4" s="122" t="s">
        <v>6</v>
      </c>
      <c r="D4" s="123"/>
      <c r="E4" s="123"/>
      <c r="F4" s="124"/>
      <c r="G4" s="125" t="s">
        <v>7</v>
      </c>
      <c r="H4" s="125"/>
      <c r="I4" s="125"/>
      <c r="J4" s="125"/>
      <c r="K4" s="126" t="s">
        <v>8</v>
      </c>
      <c r="L4" s="127"/>
      <c r="M4" s="127"/>
      <c r="N4" s="127"/>
      <c r="O4" s="112"/>
      <c r="P4" s="110" t="s">
        <v>9</v>
      </c>
      <c r="Q4" s="111"/>
      <c r="R4" s="111"/>
      <c r="S4" s="112"/>
      <c r="T4" s="128" t="s">
        <v>10</v>
      </c>
      <c r="U4" s="128"/>
      <c r="V4" s="128"/>
      <c r="W4" s="128"/>
      <c r="X4" s="110" t="s">
        <v>11</v>
      </c>
      <c r="Y4" s="111"/>
      <c r="Z4" s="111"/>
      <c r="AA4" s="111"/>
      <c r="AB4" s="112"/>
      <c r="AC4" s="126" t="s">
        <v>12</v>
      </c>
      <c r="AD4" s="127"/>
      <c r="AE4" s="127"/>
      <c r="AF4" s="129"/>
      <c r="AG4" s="126" t="s">
        <v>13</v>
      </c>
      <c r="AH4" s="127"/>
      <c r="AI4" s="127"/>
      <c r="AJ4" s="127"/>
      <c r="AK4" s="126" t="s">
        <v>14</v>
      </c>
      <c r="AL4" s="127"/>
      <c r="AM4" s="127"/>
      <c r="AN4" s="127"/>
      <c r="AO4" s="112"/>
      <c r="AP4" s="128" t="s">
        <v>15</v>
      </c>
      <c r="AQ4" s="128"/>
      <c r="AR4" s="128"/>
      <c r="AS4" s="110"/>
      <c r="AT4" s="110" t="s">
        <v>16</v>
      </c>
      <c r="AU4" s="111"/>
      <c r="AV4" s="111"/>
      <c r="AW4" s="111"/>
      <c r="AX4" s="132" t="s">
        <v>5</v>
      </c>
      <c r="AY4" s="133"/>
      <c r="AZ4" s="133"/>
      <c r="BA4" s="133"/>
      <c r="BB4" s="134"/>
    </row>
    <row r="5" spans="2:113" ht="21" customHeight="1">
      <c r="B5" s="37">
        <v>30</v>
      </c>
      <c r="C5" s="5">
        <v>6</v>
      </c>
      <c r="D5" s="8">
        <v>13</v>
      </c>
      <c r="E5" s="8">
        <v>20</v>
      </c>
      <c r="F5" s="26">
        <v>27</v>
      </c>
      <c r="G5" s="26">
        <v>3</v>
      </c>
      <c r="H5" s="26">
        <v>10</v>
      </c>
      <c r="I5" s="26">
        <v>17</v>
      </c>
      <c r="J5" s="26">
        <v>24</v>
      </c>
      <c r="K5" s="26">
        <v>3</v>
      </c>
      <c r="L5" s="26">
        <v>10</v>
      </c>
      <c r="M5" s="26">
        <v>17</v>
      </c>
      <c r="N5" s="26">
        <v>24</v>
      </c>
      <c r="O5" s="26">
        <v>31</v>
      </c>
      <c r="P5" s="26">
        <v>7</v>
      </c>
      <c r="Q5" s="26">
        <v>14</v>
      </c>
      <c r="R5" s="26">
        <v>21</v>
      </c>
      <c r="S5" s="26">
        <v>28</v>
      </c>
      <c r="T5" s="26">
        <v>5</v>
      </c>
      <c r="U5" s="35">
        <v>12</v>
      </c>
      <c r="V5" s="26">
        <v>19</v>
      </c>
      <c r="W5" s="26">
        <v>26</v>
      </c>
      <c r="X5" s="26">
        <v>2</v>
      </c>
      <c r="Y5" s="26">
        <v>9</v>
      </c>
      <c r="Z5" s="26">
        <v>14</v>
      </c>
      <c r="AA5" s="26">
        <v>23</v>
      </c>
      <c r="AB5" s="26">
        <v>30</v>
      </c>
      <c r="AC5" s="26">
        <v>7</v>
      </c>
      <c r="AD5" s="26">
        <v>14</v>
      </c>
      <c r="AE5" s="26">
        <v>21</v>
      </c>
      <c r="AF5" s="26">
        <v>28</v>
      </c>
      <c r="AG5" s="26">
        <v>4</v>
      </c>
      <c r="AH5" s="26">
        <v>11</v>
      </c>
      <c r="AI5" s="26">
        <v>18</v>
      </c>
      <c r="AJ5" s="26">
        <v>25</v>
      </c>
      <c r="AK5" s="26">
        <v>1</v>
      </c>
      <c r="AL5" s="26">
        <v>8</v>
      </c>
      <c r="AM5" s="26">
        <v>15</v>
      </c>
      <c r="AN5" s="26">
        <v>22</v>
      </c>
      <c r="AO5" s="26">
        <v>29</v>
      </c>
      <c r="AP5" s="26">
        <v>6</v>
      </c>
      <c r="AQ5" s="26">
        <v>13</v>
      </c>
      <c r="AR5" s="26">
        <v>20</v>
      </c>
      <c r="AS5" s="26">
        <v>27</v>
      </c>
      <c r="AT5" s="36">
        <v>3</v>
      </c>
      <c r="AU5" s="54">
        <v>10</v>
      </c>
      <c r="AV5" s="54">
        <v>17</v>
      </c>
      <c r="AW5" s="54">
        <v>24</v>
      </c>
      <c r="AX5" s="76">
        <v>1</v>
      </c>
      <c r="AY5" s="54">
        <v>8</v>
      </c>
      <c r="AZ5" s="54">
        <v>15</v>
      </c>
      <c r="BA5" s="54">
        <v>22</v>
      </c>
      <c r="BB5" s="54">
        <v>29</v>
      </c>
      <c r="BD5" s="9"/>
    </row>
    <row r="6" spans="2:113" s="2" customFormat="1" ht="42" customHeight="1">
      <c r="B6" s="107" t="s">
        <v>17</v>
      </c>
      <c r="C6" s="108"/>
      <c r="D6" s="107" t="s">
        <v>18</v>
      </c>
      <c r="E6" s="108"/>
      <c r="F6" s="107" t="s">
        <v>19</v>
      </c>
      <c r="G6" s="108"/>
      <c r="H6" s="108"/>
      <c r="I6" s="108"/>
      <c r="J6" s="108"/>
      <c r="K6" s="109"/>
      <c r="L6" s="107" t="s">
        <v>20</v>
      </c>
      <c r="M6" s="108"/>
      <c r="N6" s="108"/>
      <c r="O6" s="107" t="s">
        <v>36</v>
      </c>
      <c r="P6" s="108"/>
      <c r="Q6" s="108"/>
      <c r="R6" s="108"/>
      <c r="S6" s="108"/>
      <c r="T6" s="107" t="s">
        <v>37</v>
      </c>
      <c r="U6" s="108"/>
      <c r="V6" s="108"/>
      <c r="W6" s="108"/>
      <c r="X6" s="108"/>
      <c r="Y6" s="107" t="s">
        <v>38</v>
      </c>
      <c r="Z6" s="108"/>
      <c r="AA6" s="108"/>
      <c r="AB6" s="108"/>
      <c r="AC6" s="108"/>
      <c r="AD6" s="107" t="s">
        <v>39</v>
      </c>
      <c r="AE6" s="108"/>
      <c r="AF6" s="108"/>
      <c r="AG6" s="108"/>
      <c r="AH6" s="109"/>
      <c r="AI6" s="107" t="s">
        <v>40</v>
      </c>
      <c r="AJ6" s="108"/>
      <c r="AK6" s="108"/>
      <c r="AL6" s="109"/>
      <c r="AM6" s="107" t="s">
        <v>26</v>
      </c>
      <c r="AN6" s="108"/>
      <c r="AO6" s="108"/>
      <c r="AP6" s="108"/>
      <c r="AQ6" s="109"/>
      <c r="AR6" s="107" t="s">
        <v>27</v>
      </c>
      <c r="AS6" s="109"/>
      <c r="AT6" s="59" t="s">
        <v>41</v>
      </c>
      <c r="AU6" s="107" t="s">
        <v>42</v>
      </c>
      <c r="AV6" s="108"/>
      <c r="AW6" s="108"/>
      <c r="AX6" s="108"/>
      <c r="AY6" s="109"/>
      <c r="AZ6" s="107" t="s">
        <v>43</v>
      </c>
      <c r="BA6" s="109"/>
      <c r="BB6" s="60"/>
      <c r="BF6"/>
      <c r="BG6"/>
      <c r="BH6"/>
      <c r="BI6"/>
      <c r="BJ6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</row>
    <row r="7" spans="2:113" s="2" customFormat="1" ht="42" customHeight="1">
      <c r="B7" s="95" t="str">
        <f>ROUND(SUM(B12:C12),0)&amp; " GRPs"</f>
        <v>102 GRPs</v>
      </c>
      <c r="C7" s="96"/>
      <c r="D7" s="95" t="str">
        <f>ROUND(SUM(D12:E12),0)&amp; " GRPs"</f>
        <v>204 GRPs</v>
      </c>
      <c r="E7" s="96"/>
      <c r="F7" s="95" t="str">
        <f>ROUND(SUM(F12:K12),0)&amp; " GRPs"</f>
        <v>960 GRPs</v>
      </c>
      <c r="G7" s="96"/>
      <c r="H7" s="96"/>
      <c r="I7" s="96"/>
      <c r="J7" s="96"/>
      <c r="K7" s="97"/>
      <c r="L7" s="95" t="str">
        <f>ROUND(SUM(L12:N12),0)&amp; " GRPs"</f>
        <v>480 GRPs</v>
      </c>
      <c r="M7" s="96"/>
      <c r="N7" s="96"/>
      <c r="O7" s="95" t="str">
        <f>ROUND(SUM(O12:S12),0)&amp; " GRPs"</f>
        <v>500 GRPs</v>
      </c>
      <c r="P7" s="96"/>
      <c r="Q7" s="96"/>
      <c r="R7" s="96"/>
      <c r="S7" s="96"/>
      <c r="T7" s="95" t="str">
        <f>ROUND(SUM(T12:X12),0)&amp; " GRPs"</f>
        <v>800 GRPs</v>
      </c>
      <c r="U7" s="96"/>
      <c r="V7" s="96"/>
      <c r="W7" s="96"/>
      <c r="X7" s="96"/>
      <c r="Y7" s="95" t="str">
        <f>ROUND(SUM(Y12:AC12),0)&amp; " GRPs"</f>
        <v>800 GRPs</v>
      </c>
      <c r="Z7" s="96"/>
      <c r="AA7" s="96"/>
      <c r="AB7" s="96"/>
      <c r="AC7" s="96"/>
      <c r="AD7" s="95" t="str">
        <f>ROUND(SUM(AD12:AH12),0)&amp; " GRPs"</f>
        <v>800 GRPs</v>
      </c>
      <c r="AE7" s="96"/>
      <c r="AF7" s="96"/>
      <c r="AG7" s="96"/>
      <c r="AH7" s="97"/>
      <c r="AI7" s="95" t="str">
        <f>ROUND(SUM(AI12:AL12),0)&amp; " GRPs"</f>
        <v>685 GRPs</v>
      </c>
      <c r="AJ7" s="96"/>
      <c r="AK7" s="96"/>
      <c r="AL7" s="97"/>
      <c r="AM7" s="104" t="str">
        <f>ROUND(SUM(AM12:AQ12),0)&amp; " GRPs"</f>
        <v>680 GRPs</v>
      </c>
      <c r="AN7" s="105"/>
      <c r="AO7" s="105"/>
      <c r="AP7" s="105"/>
      <c r="AQ7" s="106"/>
      <c r="AR7" s="95" t="str">
        <f>ROUND(SUM(AR12:AS12),0)&amp; " GRPs"</f>
        <v>274 GRPs</v>
      </c>
      <c r="AS7" s="97"/>
      <c r="AT7" s="73" t="str">
        <f>ROUND(SUM(AT12),0)&amp; " GRPs"</f>
        <v>102 GRPs</v>
      </c>
      <c r="AU7" s="104" t="str">
        <f>ROUND(SUM(AU12:AY12),0)&amp; " GRPs"</f>
        <v>685 GRPs</v>
      </c>
      <c r="AV7" s="105"/>
      <c r="AW7" s="105"/>
      <c r="AX7" s="105"/>
      <c r="AY7" s="106"/>
      <c r="AZ7" s="95" t="str">
        <f>ROUND(SUM(AZ12:BA12),0)&amp; " GRPs"</f>
        <v>538 GRPs</v>
      </c>
      <c r="BA7" s="97"/>
      <c r="BB7" s="61"/>
      <c r="BD7" s="10"/>
      <c r="BF7"/>
      <c r="BG7"/>
      <c r="BH7"/>
      <c r="BI7"/>
      <c r="BJ7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</row>
    <row r="8" spans="2:113" s="2" customFormat="1" ht="47.25" customHeight="1">
      <c r="B8" s="101" t="s">
        <v>30</v>
      </c>
      <c r="C8" s="102"/>
      <c r="D8" s="101" t="s">
        <v>30</v>
      </c>
      <c r="E8" s="102"/>
      <c r="F8" s="101" t="s">
        <v>30</v>
      </c>
      <c r="G8" s="102"/>
      <c r="H8" s="102"/>
      <c r="I8" s="102"/>
      <c r="J8" s="102"/>
      <c r="K8" s="103"/>
      <c r="L8" s="101" t="s">
        <v>30</v>
      </c>
      <c r="M8" s="102"/>
      <c r="N8" s="102"/>
      <c r="O8" s="98" t="s">
        <v>30</v>
      </c>
      <c r="P8" s="99"/>
      <c r="Q8" s="99"/>
      <c r="R8" s="99"/>
      <c r="S8" s="99"/>
      <c r="T8" s="98" t="s">
        <v>30</v>
      </c>
      <c r="U8" s="99"/>
      <c r="V8" s="99"/>
      <c r="W8" s="99"/>
      <c r="X8" s="99"/>
      <c r="Y8" s="98" t="s">
        <v>30</v>
      </c>
      <c r="Z8" s="99"/>
      <c r="AA8" s="99"/>
      <c r="AB8" s="99"/>
      <c r="AC8" s="99"/>
      <c r="AD8" s="98" t="s">
        <v>30</v>
      </c>
      <c r="AE8" s="99"/>
      <c r="AF8" s="99"/>
      <c r="AG8" s="99"/>
      <c r="AH8" s="100"/>
      <c r="AI8" s="101" t="s">
        <v>30</v>
      </c>
      <c r="AJ8" s="102"/>
      <c r="AK8" s="102"/>
      <c r="AL8" s="103"/>
      <c r="AM8" s="101" t="s">
        <v>30</v>
      </c>
      <c r="AN8" s="102"/>
      <c r="AO8" s="102"/>
      <c r="AP8" s="102"/>
      <c r="AQ8" s="103"/>
      <c r="AR8" s="101" t="s">
        <v>30</v>
      </c>
      <c r="AS8" s="102"/>
      <c r="AT8" s="62" t="s">
        <v>30</v>
      </c>
      <c r="AU8" s="98" t="s">
        <v>30</v>
      </c>
      <c r="AV8" s="99"/>
      <c r="AW8" s="99"/>
      <c r="AX8" s="99"/>
      <c r="AY8" s="100"/>
      <c r="AZ8" s="101" t="s">
        <v>30</v>
      </c>
      <c r="BA8" s="103"/>
      <c r="BB8" s="75"/>
      <c r="BF8"/>
      <c r="BG8"/>
      <c r="BH8"/>
      <c r="BI8"/>
      <c r="BJ8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</row>
    <row r="9" spans="2:113" s="15" customFormat="1" ht="16.149999999999999" customHeight="1">
      <c r="B9" s="74" t="s">
        <v>31</v>
      </c>
      <c r="C9" s="46">
        <v>94.440002419999999</v>
      </c>
      <c r="D9" s="74" t="s">
        <v>31</v>
      </c>
      <c r="E9" s="46">
        <v>203.8133</v>
      </c>
      <c r="F9" s="93" t="s">
        <v>31</v>
      </c>
      <c r="G9" s="94"/>
      <c r="H9" s="94"/>
      <c r="I9" s="94"/>
      <c r="J9" s="94"/>
      <c r="K9" s="46">
        <v>798</v>
      </c>
      <c r="L9" s="93" t="s">
        <v>31</v>
      </c>
      <c r="M9" s="94"/>
      <c r="N9" s="45">
        <v>399.43650242109999</v>
      </c>
      <c r="O9" s="93" t="s">
        <v>31</v>
      </c>
      <c r="P9" s="94"/>
      <c r="Q9" s="94"/>
      <c r="R9" s="94"/>
      <c r="S9" s="50">
        <v>420.26350000000002</v>
      </c>
      <c r="T9" s="93" t="s">
        <v>31</v>
      </c>
      <c r="U9" s="94"/>
      <c r="V9" s="94"/>
      <c r="W9" s="94"/>
      <c r="X9" s="50">
        <v>665</v>
      </c>
      <c r="Y9" s="93" t="s">
        <v>31</v>
      </c>
      <c r="Z9" s="94"/>
      <c r="AA9" s="94"/>
      <c r="AB9" s="94"/>
      <c r="AC9" s="50">
        <v>665.00000000001</v>
      </c>
      <c r="AD9" s="93" t="s">
        <v>31</v>
      </c>
      <c r="AE9" s="94"/>
      <c r="AF9" s="94"/>
      <c r="AG9" s="94"/>
      <c r="AH9" s="46">
        <v>665</v>
      </c>
      <c r="AI9" s="93" t="s">
        <v>31</v>
      </c>
      <c r="AJ9" s="94"/>
      <c r="AK9" s="94"/>
      <c r="AL9" s="47">
        <v>572.99991525956</v>
      </c>
      <c r="AM9" s="93" t="s">
        <v>31</v>
      </c>
      <c r="AN9" s="94"/>
      <c r="AO9" s="94"/>
      <c r="AP9" s="94"/>
      <c r="AQ9" s="47">
        <v>567.97350000001995</v>
      </c>
      <c r="AR9" s="74" t="s">
        <v>31</v>
      </c>
      <c r="AS9" s="46">
        <v>229.19998547307003</v>
      </c>
      <c r="AT9" s="56" t="s">
        <v>44</v>
      </c>
      <c r="AU9" s="93" t="s">
        <v>31</v>
      </c>
      <c r="AV9" s="94"/>
      <c r="AW9" s="94"/>
      <c r="AX9" s="94"/>
      <c r="AY9" s="46">
        <v>572.99996369999997</v>
      </c>
      <c r="AZ9" s="65" t="s">
        <v>31</v>
      </c>
      <c r="BA9" s="45">
        <v>430.45000000000005</v>
      </c>
      <c r="BB9" s="78"/>
      <c r="BF9"/>
      <c r="BG9"/>
      <c r="BH9"/>
      <c r="BI9"/>
      <c r="BJ9"/>
    </row>
    <row r="10" spans="2:113" s="4" customFormat="1" ht="16.149999999999999" customHeight="1">
      <c r="B10" s="64" t="s">
        <v>32</v>
      </c>
      <c r="C10" s="47">
        <v>7.4667000000000003</v>
      </c>
      <c r="D10" s="64"/>
      <c r="E10" s="47"/>
      <c r="F10" s="91" t="s">
        <v>32</v>
      </c>
      <c r="G10" s="92"/>
      <c r="H10" s="92"/>
      <c r="I10" s="92"/>
      <c r="J10" s="92"/>
      <c r="K10" s="47">
        <v>162</v>
      </c>
      <c r="L10" s="91" t="s">
        <v>32</v>
      </c>
      <c r="M10" s="92"/>
      <c r="N10" s="45">
        <v>80.961999999989999</v>
      </c>
      <c r="O10" s="91" t="s">
        <v>32</v>
      </c>
      <c r="P10" s="92"/>
      <c r="Q10" s="92"/>
      <c r="R10" s="92"/>
      <c r="S10" s="45">
        <v>80.000199999999992</v>
      </c>
      <c r="T10" s="91" t="s">
        <v>32</v>
      </c>
      <c r="U10" s="92"/>
      <c r="V10" s="92"/>
      <c r="W10" s="92"/>
      <c r="X10" s="45">
        <v>135</v>
      </c>
      <c r="Y10" s="91" t="s">
        <v>32</v>
      </c>
      <c r="Z10" s="92"/>
      <c r="AA10" s="92"/>
      <c r="AB10" s="92"/>
      <c r="AC10" s="45">
        <v>135</v>
      </c>
      <c r="AD10" s="91" t="s">
        <v>32</v>
      </c>
      <c r="AE10" s="92"/>
      <c r="AF10" s="92"/>
      <c r="AG10" s="92"/>
      <c r="AH10" s="47">
        <v>135</v>
      </c>
      <c r="AI10" s="91" t="s">
        <v>32</v>
      </c>
      <c r="AJ10" s="92"/>
      <c r="AK10" s="92"/>
      <c r="AL10" s="47">
        <v>112</v>
      </c>
      <c r="AM10" s="91" t="s">
        <v>32</v>
      </c>
      <c r="AN10" s="92"/>
      <c r="AO10" s="92"/>
      <c r="AP10" s="92"/>
      <c r="AQ10" s="47">
        <v>112.25670000001</v>
      </c>
      <c r="AR10" s="64" t="s">
        <v>32</v>
      </c>
      <c r="AS10" s="47">
        <v>44.8</v>
      </c>
      <c r="AT10" s="64"/>
      <c r="AU10" s="91" t="s">
        <v>32</v>
      </c>
      <c r="AV10" s="92"/>
      <c r="AW10" s="92"/>
      <c r="AX10" s="92"/>
      <c r="AY10" s="47">
        <v>111.99999999999999</v>
      </c>
      <c r="AZ10" s="65" t="s">
        <v>32</v>
      </c>
      <c r="BA10" s="45">
        <v>108</v>
      </c>
      <c r="BB10" s="79"/>
      <c r="BF10" s="16"/>
      <c r="BG10" s="16"/>
      <c r="BH10" s="16"/>
      <c r="BI10" s="16"/>
      <c r="BJ10" s="16"/>
    </row>
    <row r="11" spans="2:113" s="4" customFormat="1" ht="16.149999999999999" customHeight="1">
      <c r="B11" s="68"/>
      <c r="C11" s="27"/>
      <c r="D11" s="68"/>
      <c r="E11" s="27"/>
      <c r="F11" s="32"/>
      <c r="H11" s="31"/>
      <c r="I11" s="31"/>
      <c r="J11" s="31"/>
      <c r="L11" s="70"/>
      <c r="M11" s="71"/>
      <c r="N11" s="40"/>
      <c r="O11" s="88"/>
      <c r="P11" s="89"/>
      <c r="Q11" s="89"/>
      <c r="R11" s="49"/>
      <c r="S11" s="49"/>
      <c r="T11" s="32"/>
      <c r="U11" s="31"/>
      <c r="V11" s="69"/>
      <c r="W11" s="69"/>
      <c r="X11" s="51"/>
      <c r="Y11" s="52"/>
      <c r="Z11" s="51"/>
      <c r="AA11" s="51"/>
      <c r="AB11" s="33"/>
      <c r="AC11" s="33"/>
      <c r="AD11" s="34"/>
      <c r="AE11" s="53"/>
      <c r="AF11" s="53"/>
      <c r="AG11" s="53"/>
      <c r="AH11" s="27"/>
      <c r="AI11" s="71"/>
      <c r="AJ11" s="44"/>
      <c r="AK11" s="71"/>
      <c r="AL11" s="19"/>
      <c r="AM11" s="68"/>
      <c r="AN11" s="71"/>
      <c r="AO11" s="40"/>
      <c r="AP11" s="40"/>
      <c r="AQ11" s="20"/>
      <c r="AR11" s="34"/>
      <c r="AS11" s="55"/>
      <c r="AT11" s="57"/>
      <c r="AU11" s="68"/>
      <c r="AV11" s="38"/>
      <c r="AW11" s="38"/>
      <c r="AX11" s="69"/>
      <c r="AY11" s="27"/>
      <c r="AZ11" s="69"/>
      <c r="BA11" s="69"/>
      <c r="BB11" s="80"/>
      <c r="BF11" s="16"/>
      <c r="BG11" s="16"/>
      <c r="BH11" s="16"/>
      <c r="BI11" s="16"/>
      <c r="BJ11" s="16"/>
    </row>
    <row r="12" spans="2:113" s="24" customFormat="1" ht="16.350000000000001" customHeight="1">
      <c r="B12" s="22">
        <v>50.120017795999999</v>
      </c>
      <c r="C12" s="22">
        <v>51.786684623999996</v>
      </c>
      <c r="D12" s="22">
        <v>87.348557142859988</v>
      </c>
      <c r="E12" s="22">
        <v>116.4</v>
      </c>
      <c r="F12" s="22">
        <v>137.14285714286001</v>
      </c>
      <c r="G12" s="22">
        <v>160</v>
      </c>
      <c r="H12" s="22">
        <v>160</v>
      </c>
      <c r="I12" s="22">
        <v>160</v>
      </c>
      <c r="J12" s="22">
        <v>160</v>
      </c>
      <c r="K12" s="22">
        <v>182.85714285713999</v>
      </c>
      <c r="L12" s="22">
        <v>137.25671497746001</v>
      </c>
      <c r="M12" s="22">
        <v>160.13283414036999</v>
      </c>
      <c r="N12" s="22">
        <v>183.00895330326</v>
      </c>
      <c r="O12" s="48">
        <v>85.759491428570001</v>
      </c>
      <c r="P12" s="48">
        <v>100.05274</v>
      </c>
      <c r="Q12" s="48">
        <v>100.05274</v>
      </c>
      <c r="R12" s="48">
        <v>100.05274</v>
      </c>
      <c r="S12" s="48">
        <v>114.34598857143</v>
      </c>
      <c r="T12" s="48">
        <v>137.14285714286001</v>
      </c>
      <c r="U12" s="48">
        <v>160</v>
      </c>
      <c r="V12" s="48">
        <v>160</v>
      </c>
      <c r="W12" s="48">
        <v>160</v>
      </c>
      <c r="X12" s="48">
        <v>182.85714285713999</v>
      </c>
      <c r="Y12" s="48">
        <v>192</v>
      </c>
      <c r="Z12" s="48">
        <v>224</v>
      </c>
      <c r="AA12" s="48">
        <v>224</v>
      </c>
      <c r="AB12" s="48">
        <v>74.666666666670011</v>
      </c>
      <c r="AC12" s="48">
        <v>85.333333333340008</v>
      </c>
      <c r="AD12" s="48">
        <v>137.14285714286001</v>
      </c>
      <c r="AE12" s="48">
        <v>160</v>
      </c>
      <c r="AF12" s="48">
        <v>160</v>
      </c>
      <c r="AG12" s="48">
        <v>160</v>
      </c>
      <c r="AH12" s="48">
        <v>182.85714285713999</v>
      </c>
      <c r="AI12" s="22">
        <v>146.78569612705002</v>
      </c>
      <c r="AJ12" s="22">
        <v>171.24997881489</v>
      </c>
      <c r="AK12" s="22">
        <v>171.24997881489</v>
      </c>
      <c r="AL12" s="22">
        <v>195.71426150273001</v>
      </c>
      <c r="AM12" s="22">
        <v>138</v>
      </c>
      <c r="AN12" s="22">
        <v>161</v>
      </c>
      <c r="AO12" s="22">
        <v>121.30051818183</v>
      </c>
      <c r="AP12" s="22">
        <v>121.30051818183</v>
      </c>
      <c r="AQ12" s="22">
        <v>138.62916363637001</v>
      </c>
      <c r="AR12" s="22">
        <v>117.42856520274002</v>
      </c>
      <c r="AS12" s="22">
        <v>156.57142027033001</v>
      </c>
      <c r="AT12" s="22">
        <v>101.55</v>
      </c>
      <c r="AU12" s="58">
        <v>117.42856520571002</v>
      </c>
      <c r="AV12" s="48">
        <v>136.99999273999998</v>
      </c>
      <c r="AW12" s="48">
        <v>136.99999273999998</v>
      </c>
      <c r="AX12" s="48">
        <v>136.99999273999998</v>
      </c>
      <c r="AY12" s="48">
        <v>156.57142027428998</v>
      </c>
      <c r="AZ12" s="22">
        <v>248.51538461538001</v>
      </c>
      <c r="BA12" s="77">
        <v>289.93461538461997</v>
      </c>
      <c r="BB12" s="81"/>
    </row>
    <row r="13" spans="2:113" ht="14.1" customHeight="1" thickBot="1">
      <c r="B13" s="87"/>
      <c r="C13" s="87"/>
      <c r="D13" s="87"/>
      <c r="E13" s="87"/>
      <c r="F13" s="87"/>
      <c r="G13" s="87"/>
      <c r="H13" s="87"/>
      <c r="I13" s="87"/>
      <c r="J13" s="87"/>
      <c r="K13" s="87"/>
      <c r="L13" s="87"/>
      <c r="M13" s="87"/>
      <c r="N13" s="87"/>
      <c r="O13" s="87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  <c r="AA13" s="87"/>
      <c r="AB13" s="87"/>
      <c r="AC13" s="87"/>
      <c r="AD13" s="87"/>
      <c r="AE13" s="87"/>
      <c r="AF13" s="87"/>
      <c r="AG13" s="87"/>
      <c r="AH13" s="87"/>
      <c r="AI13" s="87"/>
      <c r="AJ13" s="87"/>
      <c r="AK13" s="87"/>
      <c r="AL13" s="87"/>
      <c r="AM13" s="87"/>
      <c r="AN13" s="87"/>
      <c r="AO13" s="87"/>
      <c r="AP13" s="87"/>
      <c r="AQ13" s="87"/>
      <c r="AR13" s="87"/>
      <c r="AS13" s="87"/>
      <c r="AT13" s="66"/>
      <c r="AU13" s="87"/>
      <c r="AV13" s="87"/>
      <c r="AW13" s="87"/>
      <c r="AX13" s="87"/>
      <c r="AY13" s="87"/>
      <c r="AZ13" s="87"/>
      <c r="BA13" s="90"/>
    </row>
    <row r="14" spans="2:113" ht="20.100000000000001" customHeight="1" thickBot="1">
      <c r="B14" s="82" t="s">
        <v>33</v>
      </c>
      <c r="C14" s="83"/>
      <c r="D14" s="83"/>
      <c r="E14" s="83"/>
      <c r="F14" s="84"/>
      <c r="G14" s="85">
        <f>SUM(C9:C11,E9:E11,K9:K11,N9:N11,S9:S11,X9:X11,AC9:AC11,AH9:AH11,AL9:AL11,AQ9:AQ11,AS9:AS11,AT12,,AY9:AY11,BA9:BA11)</f>
        <v>7610.6122692737608</v>
      </c>
      <c r="H14" s="85"/>
      <c r="I14" s="86"/>
      <c r="AC14" s="17"/>
      <c r="AX14"/>
    </row>
    <row r="15" spans="2:113" ht="14.65" customHeight="1">
      <c r="Q15" s="12"/>
      <c r="AB15" s="17"/>
      <c r="AY15" s="18"/>
    </row>
    <row r="16" spans="2:113" ht="26.1" customHeight="1">
      <c r="B16" s="6"/>
      <c r="C16" s="6"/>
      <c r="D16" s="1" t="s">
        <v>34</v>
      </c>
    </row>
    <row r="17" spans="2:55" ht="26.1" customHeight="1">
      <c r="B17" s="7"/>
      <c r="C17" s="7"/>
      <c r="D17" s="1" t="s">
        <v>35</v>
      </c>
    </row>
    <row r="18" spans="2:55" ht="26.1" customHeight="1">
      <c r="BB18"/>
      <c r="BC18"/>
    </row>
    <row r="19" spans="2:55" ht="26.1" customHeight="1">
      <c r="BB19"/>
      <c r="BC19"/>
    </row>
    <row r="20" spans="2:55" ht="26.1" customHeight="1">
      <c r="BB20"/>
      <c r="BC20"/>
    </row>
    <row r="21" spans="2:55" ht="26.1" customHeight="1">
      <c r="N21" s="11"/>
      <c r="BB21"/>
      <c r="BC21"/>
    </row>
    <row r="22" spans="2:55" ht="26.1" customHeight="1">
      <c r="BB22"/>
      <c r="BC22"/>
    </row>
    <row r="23" spans="2:55" ht="26.1" customHeight="1">
      <c r="BB23"/>
      <c r="BC23"/>
    </row>
    <row r="24" spans="2:55" ht="26.1" customHeight="1">
      <c r="BB24"/>
      <c r="BC24"/>
    </row>
    <row r="25" spans="2:55" ht="26.1" customHeight="1">
      <c r="BB25"/>
      <c r="BC25"/>
    </row>
    <row r="26" spans="2:55" ht="26.1" customHeight="1">
      <c r="BB26"/>
      <c r="BC26"/>
    </row>
    <row r="27" spans="2:55" ht="26.1" customHeight="1">
      <c r="BB27"/>
      <c r="BC27"/>
    </row>
    <row r="28" spans="2:55" ht="26.1" customHeight="1">
      <c r="BB28"/>
      <c r="BC28"/>
    </row>
    <row r="29" spans="2:55" ht="26.1" customHeight="1">
      <c r="BB29"/>
      <c r="BC29"/>
    </row>
    <row r="30" spans="2:55" ht="26.1" customHeight="1">
      <c r="BB30"/>
      <c r="BC30"/>
    </row>
    <row r="31" spans="2:55" ht="26.1" customHeight="1">
      <c r="BB31"/>
      <c r="BC31"/>
    </row>
    <row r="32" spans="2:55" ht="26.1" customHeight="1">
      <c r="BB32"/>
      <c r="BC32"/>
    </row>
    <row r="33" spans="54:55" ht="26.1" customHeight="1">
      <c r="BB33"/>
      <c r="BC33"/>
    </row>
    <row r="34" spans="54:55" ht="26.1" customHeight="1">
      <c r="BB34"/>
      <c r="BC34"/>
    </row>
  </sheetData>
  <mergeCells count="90">
    <mergeCell ref="AM6:AQ6"/>
    <mergeCell ref="AR6:AS6"/>
    <mergeCell ref="AU10:AX10"/>
    <mergeCell ref="AR7:AS7"/>
    <mergeCell ref="AM8:AQ8"/>
    <mergeCell ref="AR8:AS8"/>
    <mergeCell ref="AU9:AX9"/>
    <mergeCell ref="AM10:AP10"/>
    <mergeCell ref="AZ6:BA6"/>
    <mergeCell ref="AZ7:BA7"/>
    <mergeCell ref="AZ8:BA8"/>
    <mergeCell ref="AU6:AY6"/>
    <mergeCell ref="AU7:AY7"/>
    <mergeCell ref="AU8:AY8"/>
    <mergeCell ref="B1:BA1"/>
    <mergeCell ref="B2:O2"/>
    <mergeCell ref="AB2:AO2"/>
    <mergeCell ref="O3:AB3"/>
    <mergeCell ref="C4:F4"/>
    <mergeCell ref="G4:J4"/>
    <mergeCell ref="K4:O4"/>
    <mergeCell ref="P4:S4"/>
    <mergeCell ref="T4:W4"/>
    <mergeCell ref="AT4:AW4"/>
    <mergeCell ref="AC4:AF4"/>
    <mergeCell ref="AG4:AJ4"/>
    <mergeCell ref="AK4:AO4"/>
    <mergeCell ref="AP4:AS4"/>
    <mergeCell ref="AO3:BB3"/>
    <mergeCell ref="AX4:BB4"/>
    <mergeCell ref="Y6:AC6"/>
    <mergeCell ref="X4:AB4"/>
    <mergeCell ref="T6:X6"/>
    <mergeCell ref="AD6:AH6"/>
    <mergeCell ref="AI6:AL6"/>
    <mergeCell ref="B8:C8"/>
    <mergeCell ref="D8:E8"/>
    <mergeCell ref="F8:K8"/>
    <mergeCell ref="L8:N8"/>
    <mergeCell ref="B7:C7"/>
    <mergeCell ref="D7:E7"/>
    <mergeCell ref="F7:K7"/>
    <mergeCell ref="L7:N7"/>
    <mergeCell ref="O6:S6"/>
    <mergeCell ref="O7:S7"/>
    <mergeCell ref="B6:C6"/>
    <mergeCell ref="D6:E6"/>
    <mergeCell ref="F6:K6"/>
    <mergeCell ref="L6:N6"/>
    <mergeCell ref="F9:J9"/>
    <mergeCell ref="L9:M9"/>
    <mergeCell ref="O9:R9"/>
    <mergeCell ref="O8:S8"/>
    <mergeCell ref="T9:W9"/>
    <mergeCell ref="T8:X8"/>
    <mergeCell ref="Y9:AB9"/>
    <mergeCell ref="AM9:AP9"/>
    <mergeCell ref="T7:X7"/>
    <mergeCell ref="AD7:AH7"/>
    <mergeCell ref="AD8:AH8"/>
    <mergeCell ref="Y7:AC7"/>
    <mergeCell ref="Y8:AC8"/>
    <mergeCell ref="AI7:AL7"/>
    <mergeCell ref="AI8:AL8"/>
    <mergeCell ref="AI9:AK9"/>
    <mergeCell ref="AD9:AG9"/>
    <mergeCell ref="AM7:AQ7"/>
    <mergeCell ref="AX13:BA13"/>
    <mergeCell ref="AK13:AQ13"/>
    <mergeCell ref="AR13:AS13"/>
    <mergeCell ref="AU13:AW13"/>
    <mergeCell ref="F10:J10"/>
    <mergeCell ref="L10:M10"/>
    <mergeCell ref="O10:R10"/>
    <mergeCell ref="T10:W10"/>
    <mergeCell ref="Y10:AB10"/>
    <mergeCell ref="AI10:AK10"/>
    <mergeCell ref="AH13:AJ13"/>
    <mergeCell ref="U13:X13"/>
    <mergeCell ref="AD10:AG10"/>
    <mergeCell ref="B14:F14"/>
    <mergeCell ref="G14:I14"/>
    <mergeCell ref="Y13:AA13"/>
    <mergeCell ref="AB13:AG13"/>
    <mergeCell ref="O11:Q11"/>
    <mergeCell ref="B13:D13"/>
    <mergeCell ref="E13:I13"/>
    <mergeCell ref="J13:K13"/>
    <mergeCell ref="L13:N13"/>
    <mergeCell ref="O13:T13"/>
  </mergeCells>
  <printOptions horizontalCentered="1"/>
  <pageMargins left="0" right="0" top="7.0000000000000007E-2" bottom="7.0000000000000007E-2" header="0" footer="0"/>
  <pageSetup scale="57" fitToHeight="0" orientation="landscape"/>
  <headerFooter alignWithMargins="0">
    <oddFooter>&amp;L&amp;BMcDonald's Corporation Confidential&amp;B&amp;C&amp;D&amp;RPage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89738f03-01ce-497f-afee-8f9b7e814fb3">
      <UserInfo>
        <DisplayName>Catherine Brady (OMD)</DisplayName>
        <AccountId>57</AccountId>
        <AccountType/>
      </UserInfo>
    </SharedWithUsers>
    <MediaLengthInSeconds xmlns="8ba0e35d-ff03-4106-9951-e8d1bcb322ec" xsi:nil="true"/>
    <lcf76f155ced4ddcb4097134ff3c332f xmlns="8ba0e35d-ff03-4106-9951-e8d1bcb322ec">
      <Terms xmlns="http://schemas.microsoft.com/office/infopath/2007/PartnerControls"/>
    </lcf76f155ced4ddcb4097134ff3c332f>
    <TaxCatchAll xmlns="89738f03-01ce-497f-afee-8f9b7e814fb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00E427CDC8F4B40A700908DD9F296BE" ma:contentTypeVersion="18" ma:contentTypeDescription="Create a new document." ma:contentTypeScope="" ma:versionID="5ecf140c4e39a8aed96c40c9b347e7f8">
  <xsd:schema xmlns:xsd="http://www.w3.org/2001/XMLSchema" xmlns:xs="http://www.w3.org/2001/XMLSchema" xmlns:p="http://schemas.microsoft.com/office/2006/metadata/properties" xmlns:ns2="8ba0e35d-ff03-4106-9951-e8d1bcb322ec" xmlns:ns3="89738f03-01ce-497f-afee-8f9b7e814fb3" targetNamespace="http://schemas.microsoft.com/office/2006/metadata/properties" ma:root="true" ma:fieldsID="c4ce6a186ee40ed870c4a79d4be1d79f" ns2:_="" ns3:_="">
    <xsd:import namespace="8ba0e35d-ff03-4106-9951-e8d1bcb322ec"/>
    <xsd:import namespace="89738f03-01ce-497f-afee-8f9b7e814fb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a0e35d-ff03-4106-9951-e8d1bcb322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80576126-1159-4e35-a2bd-9606b6c67a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738f03-01ce-497f-afee-8f9b7e814fb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0795c5d-511f-4f67-8191-85040accb463}" ma:internalName="TaxCatchAll" ma:showField="CatchAllData" ma:web="89738f03-01ce-497f-afee-8f9b7e814fb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91D0095-992D-4B35-99DE-A67E70C7DC52}"/>
</file>

<file path=customXml/itemProps2.xml><?xml version="1.0" encoding="utf-8"?>
<ds:datastoreItem xmlns:ds="http://schemas.openxmlformats.org/officeDocument/2006/customXml" ds:itemID="{56A5306E-730E-4E0B-A3CA-6E2F0389CCAC}"/>
</file>

<file path=customXml/itemProps3.xml><?xml version="1.0" encoding="utf-8"?>
<ds:datastoreItem xmlns:ds="http://schemas.openxmlformats.org/officeDocument/2006/customXml" ds:itemID="{DDA50B53-CEB4-47D9-85F5-6188B37C9CD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McDonald's Corporation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Lauren Gulbrand</dc:creator>
  <cp:keywords/>
  <dc:description/>
  <cp:lastModifiedBy/>
  <cp:revision/>
  <dcterms:created xsi:type="dcterms:W3CDTF">2010-02-11T15:31:58Z</dcterms:created>
  <dcterms:modified xsi:type="dcterms:W3CDTF">2026-08-02T22:16:28Z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0x010100100E427CDC8F4B40A700908DD9F296BE</vt:lpwstr>
  </property>
  <property fmtid="{D5CDD505-2E9C-101B-9397-08002B2CF9AE}" pid="3" name="xd_ProgID">
    <vt:lpwstr/>
  </property>
  <property fmtid="{D5CDD505-2E9C-101B-9397-08002B2CF9AE}" pid="4" name="ComplianceAssetId">
    <vt:lpwstr/>
  </property>
  <property fmtid="{D5CDD505-2E9C-101B-9397-08002B2CF9AE}" pid="5" name="TemplateUrl">
    <vt:lpwstr/>
  </property>
  <property fmtid="{D5CDD505-2E9C-101B-9397-08002B2CF9AE}" pid="6" name="_ExtendedDescription">
    <vt:lpwstr/>
  </property>
  <property fmtid="{D5CDD505-2E9C-101B-9397-08002B2CF9AE}" pid="7" name="xd_Signature">
    <vt:bool>false</vt:bool>
  </property>
  <property fmtid="{D5CDD505-2E9C-101B-9397-08002B2CF9AE}" pid="8" name="Order">
    <vt:r8>4336900</vt:r8>
  </property>
  <property fmtid="{D5CDD505-2E9C-101B-9397-08002B2CF9AE}" pid="9" name="TriggerFlowInfo">
    <vt:lpwstr/>
  </property>
  <property fmtid="{D5CDD505-2E9C-101B-9397-08002B2CF9AE}" pid="10" name="_dlc_DocIdItemGuid">
    <vt:lpwstr>448e9320-59bb-4a57-89e4-2a1b3a5575dc</vt:lpwstr>
  </property>
  <property fmtid="{D5CDD505-2E9C-101B-9397-08002B2CF9AE}" pid="11" name="MediaServiceImageTags">
    <vt:lpwstr/>
  </property>
</Properties>
</file>