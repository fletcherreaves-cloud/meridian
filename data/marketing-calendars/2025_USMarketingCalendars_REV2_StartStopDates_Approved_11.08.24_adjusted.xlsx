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share.mcd.com/personal/nathalia_cambraia_us_mcd_com/Documents/Documents/2025-2026/Calendar/Official/"/>
    </mc:Choice>
  </mc:AlternateContent>
  <xr:revisionPtr revIDLastSave="0" documentId="8_{E74AC02F-75CC-4445-B80A-D4BD9A789231}" xr6:coauthVersionLast="47" xr6:coauthVersionMax="47" xr10:uidLastSave="{00000000-0000-0000-0000-000000000000}"/>
  <bookViews>
    <workbookView xWindow="-110" yWindow="-110" windowWidth="19420" windowHeight="11620" tabRatio="799" xr2:uid="{00000000-000D-0000-FFFF-FFFF00000000}"/>
  </bookViews>
  <sheets>
    <sheet name="2025 OPNAD Mtkg StartStop" sheetId="7" r:id="rId1"/>
    <sheet name="2025 Happy Meal StartStop" sheetId="11" r:id="rId2"/>
  </sheets>
  <definedNames>
    <definedName name="AACM" localSheetId="1">#REF!</definedName>
    <definedName name="AACM">#REF!</definedName>
    <definedName name="BFX_BRANDFX">60122</definedName>
    <definedName name="_xlnm.Print_Area" localSheetId="1">'2025 Happy Meal StartStop'!$A$1:$F$39</definedName>
    <definedName name="_xlnm.Print_Area" localSheetId="0">'2025 OPNAD Mtkg StartStop'!$A$1:$R$52</definedName>
    <definedName name="_xlnm.Print_Area">#REF!</definedName>
    <definedName name="RPT_BRANDF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7" l="1"/>
  <c r="P42" i="7"/>
  <c r="N42" i="7"/>
  <c r="L14" i="7"/>
  <c r="J14" i="7"/>
  <c r="L24" i="7"/>
  <c r="J24" i="7"/>
  <c r="L40" i="7"/>
  <c r="J40" i="7"/>
  <c r="P48" i="7"/>
  <c r="P46" i="7"/>
  <c r="P44" i="7"/>
  <c r="P38" i="7"/>
  <c r="P36" i="7"/>
  <c r="P30" i="7"/>
  <c r="P28" i="7"/>
  <c r="P34" i="7"/>
  <c r="P32" i="7"/>
  <c r="P26" i="7"/>
  <c r="P22" i="7"/>
  <c r="P20" i="7"/>
  <c r="P18" i="7"/>
  <c r="P16" i="7"/>
  <c r="P12" i="7"/>
  <c r="P10" i="7"/>
  <c r="P8" i="7"/>
  <c r="N48" i="7"/>
  <c r="N46" i="7"/>
  <c r="N44" i="7"/>
  <c r="N38" i="7"/>
  <c r="N36" i="7"/>
  <c r="N30" i="7"/>
  <c r="N28" i="7"/>
  <c r="N34" i="7"/>
  <c r="N32" i="7"/>
  <c r="N26" i="7"/>
  <c r="N22" i="7"/>
  <c r="N20" i="7"/>
  <c r="N18" i="7"/>
  <c r="N16" i="7"/>
  <c r="N12" i="7"/>
  <c r="N10" i="7"/>
  <c r="N8" i="7"/>
  <c r="R8" i="7"/>
  <c r="R12" i="7"/>
  <c r="R16" i="7"/>
  <c r="R18" i="7"/>
  <c r="R20" i="7"/>
  <c r="R22" i="7"/>
  <c r="R26" i="7"/>
  <c r="R32" i="7"/>
  <c r="R34" i="7"/>
  <c r="R28" i="7"/>
  <c r="R30" i="7"/>
  <c r="R36" i="7"/>
  <c r="R38" i="7"/>
  <c r="R44" i="7"/>
  <c r="R46" i="7"/>
  <c r="R48" i="7"/>
  <c r="R10" i="7"/>
  <c r="G23" i="11"/>
  <c r="G21" i="11"/>
  <c r="G19" i="11"/>
  <c r="G17" i="11"/>
  <c r="G15" i="11"/>
  <c r="G13" i="11"/>
  <c r="G11" i="11"/>
  <c r="G9" i="11"/>
  <c r="G7" i="11"/>
</calcChain>
</file>

<file path=xl/sharedStrings.xml><?xml version="1.0" encoding="utf-8"?>
<sst xmlns="http://schemas.openxmlformats.org/spreadsheetml/2006/main" count="108" uniqueCount="65">
  <si>
    <t>2025 OPNAD Marketing Calendar</t>
  </si>
  <si>
    <t>Key Program and Advertising Start and Stop Dates</t>
  </si>
  <si>
    <t>REV #2 - Approved 11.08.24</t>
  </si>
  <si>
    <t>Retail / In-Store</t>
  </si>
  <si>
    <t xml:space="preserve">Advertising </t>
  </si>
  <si>
    <t>Program</t>
  </si>
  <si>
    <t>Soft Sell
(week of)</t>
  </si>
  <si>
    <t>Retail
Start Date / All-store selling</t>
  </si>
  <si>
    <t>Retail
End Date</t>
  </si>
  <si>
    <t>Product Phase Out Dates</t>
  </si>
  <si>
    <r>
      <t xml:space="preserve">Pre-Buzz
</t>
    </r>
    <r>
      <rPr>
        <sz val="14"/>
        <rFont val="Speedee"/>
        <family val="2"/>
      </rPr>
      <t>(Paid or Owned)</t>
    </r>
  </si>
  <si>
    <r>
      <t>Owned Media-</t>
    </r>
    <r>
      <rPr>
        <b/>
        <i/>
        <sz val="14"/>
        <rFont val="Speedee"/>
        <family val="2"/>
      </rPr>
      <t>only</t>
    </r>
    <r>
      <rPr>
        <b/>
        <sz val="14"/>
        <rFont val="Speedee"/>
        <family val="2"/>
      </rPr>
      <t xml:space="preserve"> </t>
    </r>
  </si>
  <si>
    <t>Paid Media</t>
  </si>
  <si>
    <t>Start</t>
  </si>
  <si>
    <t>Stop</t>
  </si>
  <si>
    <t>Adv Start</t>
  </si>
  <si>
    <t>Adv Stop</t>
  </si>
  <si>
    <t>#Days</t>
  </si>
  <si>
    <t xml:space="preserve">Value for Money: McValue Menu </t>
  </si>
  <si>
    <t>n/a</t>
  </si>
  <si>
    <t xml:space="preserve">Core: QPC + line extension </t>
  </si>
  <si>
    <t>3/10-4/6</t>
  </si>
  <si>
    <t>Core: Breakfast (Core only)</t>
  </si>
  <si>
    <t>TBD</t>
  </si>
  <si>
    <t xml:space="preserve">Retail: Shamrock Shake &amp; Trust </t>
  </si>
  <si>
    <t>3/24-4/20</t>
  </si>
  <si>
    <t xml:space="preserve">n/a </t>
  </si>
  <si>
    <t>Value for Money: Digital McValue</t>
  </si>
  <si>
    <t>Brand Relevance</t>
  </si>
  <si>
    <t>4/28-5/25</t>
  </si>
  <si>
    <t xml:space="preserve">Value for Money: McValue Menu  </t>
  </si>
  <si>
    <t xml:space="preserve">Core: McCrispy Strips </t>
  </si>
  <si>
    <t>Retail Extension:  S'mores McFlurry</t>
  </si>
  <si>
    <t>6/2</t>
  </si>
  <si>
    <t>7/14-8/10</t>
  </si>
  <si>
    <t>Value for Money: McValue Menu</t>
  </si>
  <si>
    <t xml:space="preserve">Core: Snack Wraps </t>
  </si>
  <si>
    <t>Core: Breakfast(Core only)</t>
  </si>
  <si>
    <t xml:space="preserve">Brand Relevance </t>
  </si>
  <si>
    <t>9/8-10/5</t>
  </si>
  <si>
    <t>Core: McCrispy Sandwich + Line Extension</t>
  </si>
  <si>
    <t>10/6-11/2</t>
  </si>
  <si>
    <t>Retail Extension</t>
  </si>
  <si>
    <t xml:space="preserve">Value for Money: Digital McValue </t>
  </si>
  <si>
    <t>11/24-12/21</t>
  </si>
  <si>
    <t>Core: McCrispy Sandwich &amp; Line extension</t>
  </si>
  <si>
    <r>
      <rPr>
        <b/>
        <sz val="14"/>
        <color theme="1"/>
        <rFont val="Speedee"/>
        <family val="2"/>
      </rPr>
      <t>Notes:</t>
    </r>
    <r>
      <rPr>
        <sz val="14"/>
        <color theme="1"/>
        <rFont val="Speedee"/>
        <family val="2"/>
      </rPr>
      <t xml:space="preserve">
Programs and dates are based on approved 2025 Marketing Calendar and subject to change.
McDonald's will align on Tuesday/ Wednesday All Store start guidance as needed for each campaign as calendar develops.
Soft sell range of about ~10 days prior to launch on a Monday. Product Phase out dates supply ensured until last day of promotion, estimated at 2 weeks post end date.</t>
    </r>
  </si>
  <si>
    <t>2025 Happy Meal Calendar</t>
  </si>
  <si>
    <t>Key Program Start and Stop Dates</t>
  </si>
  <si>
    <t>8.28.24</t>
  </si>
  <si>
    <t>Happy Meal Program Program</t>
  </si>
  <si>
    <t>Promotion Dates</t>
  </si>
  <si>
    <t>Happy Meal #1</t>
  </si>
  <si>
    <t>Clean Up</t>
  </si>
  <si>
    <t>Happy Meal #2</t>
  </si>
  <si>
    <t>Happy Meal #3</t>
  </si>
  <si>
    <t>Happy Meal #4</t>
  </si>
  <si>
    <t>Happy Meal #5</t>
  </si>
  <si>
    <t>Happy Meal #6</t>
  </si>
  <si>
    <t>Happy Meal #7</t>
  </si>
  <si>
    <t>Happy Meal #8</t>
  </si>
  <si>
    <t>Happy Meal #9</t>
  </si>
  <si>
    <t>Happy Meal #10</t>
  </si>
  <si>
    <t>Happy Meal #11</t>
  </si>
  <si>
    <r>
      <rPr>
        <b/>
        <sz val="14"/>
        <color theme="1"/>
        <rFont val="Speedee"/>
        <family val="2"/>
      </rPr>
      <t>Notes:</t>
    </r>
    <r>
      <rPr>
        <sz val="14"/>
        <color theme="1"/>
        <rFont val="Speedee"/>
        <family val="2"/>
      </rPr>
      <t xml:space="preserve">
Programs and dates are based on approved 2024 Happy Meal Calendar and subject to change.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</si>
</sst>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0"/>
      <name val="Speedee"/>
      <family val="2"/>
    </font>
    <font>
      <sz val="14"/>
      <name val="Speedee"/>
      <family val="2"/>
    </font>
    <font>
      <b/>
      <sz val="16"/>
      <name val="Speedee"/>
      <family val="2"/>
    </font>
    <font>
      <b/>
      <sz val="14"/>
      <name val="Speedee"/>
      <family val="2"/>
    </font>
    <font>
      <sz val="14"/>
      <color theme="1"/>
      <name val="Speedee"/>
      <family val="2"/>
    </font>
    <font>
      <b/>
      <u/>
      <sz val="14"/>
      <name val="Speedee"/>
      <family val="2"/>
    </font>
    <font>
      <b/>
      <sz val="14"/>
      <color rgb="FFFFC000"/>
      <name val="Speedee"/>
      <family val="2"/>
    </font>
    <font>
      <b/>
      <sz val="14"/>
      <color theme="0"/>
      <name val="Speedee"/>
      <family val="2"/>
    </font>
    <font>
      <b/>
      <i/>
      <sz val="14"/>
      <name val="Speedee"/>
      <family val="2"/>
    </font>
    <font>
      <b/>
      <sz val="14"/>
      <color theme="1"/>
      <name val="Speedee"/>
      <family val="2"/>
    </font>
    <font>
      <i/>
      <sz val="14"/>
      <name val="Speedee"/>
      <family val="2"/>
    </font>
    <font>
      <b/>
      <sz val="14"/>
      <color rgb="FF000000"/>
      <name val="Speedee"/>
      <family val="2"/>
    </font>
    <font>
      <sz val="14"/>
      <color rgb="FF000000"/>
      <name val="Speedee"/>
      <family val="2"/>
    </font>
    <font>
      <b/>
      <sz val="14"/>
      <color rgb="FFFF0000"/>
      <name val="Speedee"/>
      <family val="2"/>
    </font>
    <font>
      <sz val="14"/>
      <color rgb="FFFF0000"/>
      <name val="Speedee"/>
      <family val="2"/>
    </font>
    <font>
      <sz val="14"/>
      <color rgb="FF00B050"/>
      <name val="Speedee"/>
      <family val="2"/>
    </font>
    <font>
      <b/>
      <sz val="14"/>
      <color rgb="FF00B050"/>
      <name val="Speedee"/>
      <family val="2"/>
    </font>
    <font>
      <b/>
      <i/>
      <sz val="14"/>
      <color rgb="FF00B050"/>
      <name val="Speedee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4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0" fontId="1" fillId="0" borderId="0"/>
  </cellStyleXfs>
  <cellXfs count="196">
    <xf numFmtId="0" fontId="0" fillId="0" borderId="0" xfId="0"/>
    <xf numFmtId="0" fontId="6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11" fillId="2" borderId="0" xfId="1" applyFont="1" applyFill="1" applyAlignment="1">
      <alignment horizontal="center"/>
    </xf>
    <xf numFmtId="0" fontId="5" fillId="3" borderId="5" xfId="1" applyFont="1" applyFill="1" applyBorder="1"/>
    <xf numFmtId="0" fontId="5" fillId="0" borderId="5" xfId="1" applyFont="1" applyBorder="1"/>
    <xf numFmtId="164" fontId="5" fillId="0" borderId="3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6" fillId="0" borderId="0" xfId="1" applyFont="1"/>
    <xf numFmtId="0" fontId="6" fillId="3" borderId="0" xfId="1" applyFont="1" applyFill="1"/>
    <xf numFmtId="164" fontId="3" fillId="0" borderId="3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6" fillId="3" borderId="0" xfId="1" applyNumberFormat="1" applyFont="1" applyFill="1" applyAlignment="1">
      <alignment horizontal="center" vertical="center"/>
    </xf>
    <xf numFmtId="0" fontId="5" fillId="0" borderId="6" xfId="1" applyFont="1" applyBorder="1"/>
    <xf numFmtId="164" fontId="3" fillId="0" borderId="7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wrapText="1"/>
    </xf>
    <xf numFmtId="0" fontId="3" fillId="0" borderId="0" xfId="1" applyFont="1" applyAlignment="1">
      <alignment horizontal="center" wrapText="1"/>
    </xf>
    <xf numFmtId="0" fontId="6" fillId="0" borderId="0" xfId="1" applyFont="1" applyAlignment="1">
      <alignment horizontal="center" wrapText="1"/>
    </xf>
    <xf numFmtId="0" fontId="6" fillId="0" borderId="0" xfId="1" applyFont="1" applyAlignment="1">
      <alignment wrapText="1"/>
    </xf>
    <xf numFmtId="0" fontId="6" fillId="0" borderId="4" xfId="1" applyFont="1" applyBorder="1" applyAlignment="1">
      <alignment wrapText="1"/>
    </xf>
    <xf numFmtId="0" fontId="6" fillId="2" borderId="0" xfId="1" applyFont="1" applyFill="1" applyAlignment="1">
      <alignment horizontal="center" vertical="center"/>
    </xf>
    <xf numFmtId="164" fontId="6" fillId="2" borderId="0" xfId="1" applyNumberFormat="1" applyFont="1" applyFill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11" fillId="2" borderId="1" xfId="1" applyFont="1" applyFill="1" applyBorder="1"/>
    <xf numFmtId="0" fontId="5" fillId="2" borderId="2" xfId="1" applyFont="1" applyFill="1" applyBorder="1"/>
    <xf numFmtId="0" fontId="9" fillId="5" borderId="9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wrapText="1"/>
    </xf>
    <xf numFmtId="0" fontId="5" fillId="0" borderId="23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13" fillId="3" borderId="27" xfId="1" applyFont="1" applyFill="1" applyBorder="1" applyAlignment="1">
      <alignment wrapText="1"/>
    </xf>
    <xf numFmtId="0" fontId="14" fillId="3" borderId="21" xfId="1" applyFont="1" applyFill="1" applyBorder="1" applyAlignment="1">
      <alignment horizontal="center" vertical="center"/>
    </xf>
    <xf numFmtId="164" fontId="14" fillId="3" borderId="25" xfId="1" applyNumberFormat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0" fontId="14" fillId="3" borderId="22" xfId="1" applyFont="1" applyFill="1" applyBorder="1" applyAlignment="1">
      <alignment horizontal="center" vertical="center"/>
    </xf>
    <xf numFmtId="0" fontId="14" fillId="3" borderId="24" xfId="1" applyFont="1" applyFill="1" applyBorder="1" applyAlignment="1">
      <alignment horizontal="center" vertical="center"/>
    </xf>
    <xf numFmtId="0" fontId="13" fillId="0" borderId="5" xfId="1" applyFont="1" applyBorder="1" applyAlignment="1">
      <alignment wrapText="1"/>
    </xf>
    <xf numFmtId="0" fontId="14" fillId="0" borderId="3" xfId="1" applyFont="1" applyBorder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3" fillId="3" borderId="5" xfId="1" applyFont="1" applyFill="1" applyBorder="1" applyAlignment="1">
      <alignment wrapText="1"/>
    </xf>
    <xf numFmtId="0" fontId="14" fillId="3" borderId="3" xfId="1" applyFont="1" applyFill="1" applyBorder="1" applyAlignment="1">
      <alignment horizontal="center" vertical="center"/>
    </xf>
    <xf numFmtId="164" fontId="14" fillId="3" borderId="0" xfId="1" applyNumberFormat="1" applyFont="1" applyFill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164" fontId="14" fillId="0" borderId="1" xfId="1" applyNumberFormat="1" applyFont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wrapText="1"/>
    </xf>
    <xf numFmtId="0" fontId="14" fillId="6" borderId="3" xfId="1" applyFont="1" applyFill="1" applyBorder="1" applyAlignment="1">
      <alignment horizontal="center" vertical="center"/>
    </xf>
    <xf numFmtId="164" fontId="14" fillId="6" borderId="0" xfId="1" applyNumberFormat="1" applyFont="1" applyFill="1" applyAlignment="1">
      <alignment horizontal="center" vertical="center"/>
    </xf>
    <xf numFmtId="0" fontId="14" fillId="6" borderId="0" xfId="1" applyFont="1" applyFill="1" applyAlignment="1">
      <alignment horizontal="center" vertical="center"/>
    </xf>
    <xf numFmtId="0" fontId="14" fillId="6" borderId="1" xfId="1" applyFont="1" applyFill="1" applyBorder="1" applyAlignment="1">
      <alignment horizontal="center" vertical="center"/>
    </xf>
    <xf numFmtId="0" fontId="14" fillId="6" borderId="4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4" fillId="7" borderId="4" xfId="1" applyFont="1" applyFill="1" applyBorder="1" applyAlignment="1">
      <alignment horizontal="center" vertical="center"/>
    </xf>
    <xf numFmtId="0" fontId="15" fillId="0" borderId="5" xfId="1" applyFont="1" applyBorder="1" applyAlignment="1">
      <alignment wrapText="1"/>
    </xf>
    <xf numFmtId="0" fontId="16" fillId="0" borderId="3" xfId="1" applyFont="1" applyBorder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0" xfId="1" applyFont="1" applyAlignment="1">
      <alignment wrapText="1"/>
    </xf>
    <xf numFmtId="0" fontId="5" fillId="0" borderId="1" xfId="1" applyFont="1" applyBorder="1" applyAlignment="1">
      <alignment wrapText="1"/>
    </xf>
    <xf numFmtId="0" fontId="5" fillId="0" borderId="8" xfId="1" applyFont="1" applyBorder="1" applyAlignment="1">
      <alignment wrapText="1"/>
    </xf>
    <xf numFmtId="164" fontId="3" fillId="0" borderId="14" xfId="1" applyNumberFormat="1" applyFont="1" applyBorder="1" applyAlignment="1">
      <alignment horizontal="center" vertical="center"/>
    </xf>
    <xf numFmtId="0" fontId="6" fillId="2" borderId="8" xfId="1" applyFont="1" applyFill="1" applyBorder="1"/>
    <xf numFmtId="0" fontId="5" fillId="2" borderId="5" xfId="1" applyFont="1" applyFill="1" applyBorder="1"/>
    <xf numFmtId="0" fontId="3" fillId="2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12" fillId="0" borderId="0" xfId="1" applyNumberFormat="1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10" borderId="5" xfId="1" applyFont="1" applyFill="1" applyBorder="1"/>
    <xf numFmtId="0" fontId="6" fillId="10" borderId="3" xfId="1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  <xf numFmtId="0" fontId="6" fillId="10" borderId="0" xfId="1" applyFont="1" applyFill="1"/>
    <xf numFmtId="0" fontId="5" fillId="10" borderId="5" xfId="1" applyFont="1" applyFill="1" applyBorder="1" applyAlignment="1">
      <alignment wrapText="1"/>
    </xf>
    <xf numFmtId="164" fontId="5" fillId="10" borderId="3" xfId="1" applyNumberFormat="1" applyFont="1" applyFill="1" applyBorder="1" applyAlignment="1">
      <alignment horizontal="center" vertical="center"/>
    </xf>
    <xf numFmtId="164" fontId="5" fillId="10" borderId="1" xfId="1" applyNumberFormat="1" applyFont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164" fontId="6" fillId="10" borderId="25" xfId="1" applyNumberFormat="1" applyFont="1" applyFill="1" applyBorder="1" applyAlignment="1">
      <alignment horizontal="center" vertical="center"/>
    </xf>
    <xf numFmtId="164" fontId="3" fillId="10" borderId="3" xfId="1" applyNumberFormat="1" applyFont="1" applyFill="1" applyBorder="1" applyAlignment="1">
      <alignment horizontal="center" vertical="center"/>
    </xf>
    <xf numFmtId="164" fontId="5" fillId="10" borderId="0" xfId="1" applyNumberFormat="1" applyFont="1" applyFill="1" applyAlignment="1">
      <alignment horizontal="center" vertical="center"/>
    </xf>
    <xf numFmtId="164" fontId="3" fillId="10" borderId="0" xfId="1" applyNumberFormat="1" applyFont="1" applyFill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11" borderId="0" xfId="0" applyNumberFormat="1" applyFont="1" applyFill="1" applyAlignment="1">
      <alignment horizontal="center" vertical="center"/>
    </xf>
    <xf numFmtId="164" fontId="6" fillId="10" borderId="0" xfId="1" applyNumberFormat="1" applyFont="1" applyFill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/>
    </xf>
    <xf numFmtId="0" fontId="3" fillId="0" borderId="28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6" fillId="10" borderId="0" xfId="1" applyFont="1" applyFill="1" applyAlignment="1">
      <alignment horizontal="center" vertical="center"/>
    </xf>
    <xf numFmtId="164" fontId="12" fillId="2" borderId="0" xfId="1" applyNumberFormat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0" fontId="3" fillId="10" borderId="0" xfId="1" applyFont="1" applyFill="1" applyAlignment="1">
      <alignment horizontal="center" vertical="center"/>
    </xf>
    <xf numFmtId="0" fontId="5" fillId="0" borderId="32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164" fontId="3" fillId="10" borderId="36" xfId="1" applyNumberFormat="1" applyFont="1" applyFill="1" applyBorder="1" applyAlignment="1">
      <alignment horizontal="center" vertical="center"/>
    </xf>
    <xf numFmtId="164" fontId="6" fillId="10" borderId="37" xfId="1" applyNumberFormat="1" applyFont="1" applyFill="1" applyBorder="1" applyAlignment="1">
      <alignment horizontal="center" vertical="center"/>
    </xf>
    <xf numFmtId="0" fontId="3" fillId="0" borderId="38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164" fontId="3" fillId="10" borderId="38" xfId="1" applyNumberFormat="1" applyFont="1" applyFill="1" applyBorder="1" applyAlignment="1">
      <alignment horizontal="center" vertical="center"/>
    </xf>
    <xf numFmtId="164" fontId="3" fillId="10" borderId="39" xfId="1" applyNumberFormat="1" applyFont="1" applyFill="1" applyBorder="1" applyAlignment="1">
      <alignment horizontal="center" vertical="center"/>
    </xf>
    <xf numFmtId="164" fontId="3" fillId="0" borderId="38" xfId="1" applyNumberFormat="1" applyFont="1" applyBorder="1" applyAlignment="1">
      <alignment horizontal="center" vertical="center"/>
    </xf>
    <xf numFmtId="164" fontId="3" fillId="0" borderId="39" xfId="1" applyNumberFormat="1" applyFont="1" applyBorder="1" applyAlignment="1">
      <alignment horizontal="center" vertical="center"/>
    </xf>
    <xf numFmtId="164" fontId="6" fillId="10" borderId="38" xfId="1" applyNumberFormat="1" applyFont="1" applyFill="1" applyBorder="1" applyAlignment="1">
      <alignment horizontal="center" vertical="center"/>
    </xf>
    <xf numFmtId="164" fontId="6" fillId="10" borderId="39" xfId="1" applyNumberFormat="1" applyFont="1" applyFill="1" applyBorder="1" applyAlignment="1">
      <alignment horizontal="center" vertical="center"/>
    </xf>
    <xf numFmtId="49" fontId="6" fillId="10" borderId="38" xfId="1" applyNumberFormat="1" applyFont="1" applyFill="1" applyBorder="1" applyAlignment="1">
      <alignment horizontal="center"/>
    </xf>
    <xf numFmtId="49" fontId="6" fillId="10" borderId="39" xfId="1" applyNumberFormat="1" applyFont="1" applyFill="1" applyBorder="1" applyAlignment="1">
      <alignment horizontal="center" vertical="center"/>
    </xf>
    <xf numFmtId="164" fontId="12" fillId="0" borderId="38" xfId="1" applyNumberFormat="1" applyFont="1" applyBorder="1" applyAlignment="1">
      <alignment horizontal="center" vertical="center"/>
    </xf>
    <xf numFmtId="164" fontId="17" fillId="10" borderId="0" xfId="1" applyNumberFormat="1" applyFont="1" applyFill="1" applyAlignment="1">
      <alignment horizontal="center" vertical="center"/>
    </xf>
    <xf numFmtId="164" fontId="18" fillId="10" borderId="0" xfId="1" applyNumberFormat="1" applyFont="1" applyFill="1" applyAlignment="1">
      <alignment horizontal="center" vertical="center"/>
    </xf>
    <xf numFmtId="0" fontId="18" fillId="10" borderId="5" xfId="1" applyFont="1" applyFill="1" applyBorder="1"/>
    <xf numFmtId="164" fontId="17" fillId="10" borderId="38" xfId="1" applyNumberFormat="1" applyFont="1" applyFill="1" applyBorder="1" applyAlignment="1">
      <alignment horizontal="center" vertical="center"/>
    </xf>
    <xf numFmtId="164" fontId="17" fillId="10" borderId="39" xfId="1" applyNumberFormat="1" applyFont="1" applyFill="1" applyBorder="1" applyAlignment="1">
      <alignment horizontal="center" vertical="center"/>
    </xf>
    <xf numFmtId="164" fontId="18" fillId="10" borderId="38" xfId="1" applyNumberFormat="1" applyFont="1" applyFill="1" applyBorder="1" applyAlignment="1">
      <alignment horizontal="center" vertical="center"/>
    </xf>
    <xf numFmtId="164" fontId="18" fillId="10" borderId="39" xfId="1" applyNumberFormat="1" applyFont="1" applyFill="1" applyBorder="1" applyAlignment="1">
      <alignment horizontal="center" vertical="center"/>
    </xf>
    <xf numFmtId="164" fontId="18" fillId="10" borderId="3" xfId="1" applyNumberFormat="1" applyFont="1" applyFill="1" applyBorder="1" applyAlignment="1">
      <alignment horizontal="center" vertical="center"/>
    </xf>
    <xf numFmtId="164" fontId="18" fillId="10" borderId="1" xfId="1" applyNumberFormat="1" applyFont="1" applyFill="1" applyBorder="1" applyAlignment="1">
      <alignment horizontal="center" vertical="center"/>
    </xf>
    <xf numFmtId="0" fontId="18" fillId="10" borderId="0" xfId="1" applyFont="1" applyFill="1" applyAlignment="1">
      <alignment horizontal="center" vertical="center"/>
    </xf>
    <xf numFmtId="0" fontId="18" fillId="10" borderId="4" xfId="1" applyFont="1" applyFill="1" applyBorder="1" applyAlignment="1">
      <alignment horizontal="center" vertical="center"/>
    </xf>
    <xf numFmtId="0" fontId="18" fillId="10" borderId="0" xfId="1" applyFont="1" applyFill="1"/>
    <xf numFmtId="0" fontId="18" fillId="10" borderId="5" xfId="1" applyFont="1" applyFill="1" applyBorder="1" applyAlignment="1">
      <alignment wrapText="1"/>
    </xf>
    <xf numFmtId="49" fontId="18" fillId="10" borderId="39" xfId="1" applyNumberFormat="1" applyFont="1" applyFill="1" applyBorder="1" applyAlignment="1">
      <alignment horizontal="center" vertical="center"/>
    </xf>
    <xf numFmtId="164" fontId="18" fillId="11" borderId="0" xfId="0" applyNumberFormat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5" fillId="0" borderId="38" xfId="1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1" fillId="2" borderId="0" xfId="1" applyFont="1" applyFill="1"/>
    <xf numFmtId="0" fontId="18" fillId="10" borderId="3" xfId="1" applyFont="1" applyFill="1" applyBorder="1" applyAlignment="1">
      <alignment horizontal="center" vertical="center"/>
    </xf>
    <xf numFmtId="164" fontId="18" fillId="11" borderId="39" xfId="0" applyNumberFormat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/>
    </xf>
    <xf numFmtId="0" fontId="8" fillId="0" borderId="0" xfId="1" applyFont="1" applyAlignment="1">
      <alignment horizontal="center"/>
    </xf>
    <xf numFmtId="0" fontId="5" fillId="8" borderId="30" xfId="1" applyFont="1" applyFill="1" applyBorder="1" applyAlignment="1">
      <alignment horizontal="center" vertical="center"/>
    </xf>
    <xf numFmtId="0" fontId="5" fillId="8" borderId="29" xfId="1" applyFont="1" applyFill="1" applyBorder="1" applyAlignment="1">
      <alignment horizontal="center" vertical="center"/>
    </xf>
    <xf numFmtId="0" fontId="5" fillId="8" borderId="24" xfId="1" applyFont="1" applyFill="1" applyBorder="1" applyAlignment="1">
      <alignment horizontal="center" vertical="center"/>
    </xf>
    <xf numFmtId="164" fontId="9" fillId="5" borderId="10" xfId="1" applyNumberFormat="1" applyFont="1" applyFill="1" applyBorder="1" applyAlignment="1">
      <alignment horizontal="center" vertical="center"/>
    </xf>
    <xf numFmtId="164" fontId="9" fillId="5" borderId="11" xfId="1" applyNumberFormat="1" applyFont="1" applyFill="1" applyBorder="1" applyAlignment="1">
      <alignment horizontal="center" vertical="center"/>
    </xf>
    <xf numFmtId="164" fontId="9" fillId="5" borderId="12" xfId="1" applyNumberFormat="1" applyFont="1" applyFill="1" applyBorder="1" applyAlignment="1">
      <alignment horizontal="center" vertical="center"/>
    </xf>
    <xf numFmtId="164" fontId="5" fillId="0" borderId="29" xfId="1" applyNumberFormat="1" applyFont="1" applyBorder="1" applyAlignment="1">
      <alignment horizontal="center" vertical="center" wrapText="1"/>
    </xf>
    <xf numFmtId="164" fontId="5" fillId="0" borderId="31" xfId="1" applyNumberFormat="1" applyFont="1" applyBorder="1" applyAlignment="1">
      <alignment horizontal="center" vertical="center" wrapText="1"/>
    </xf>
    <xf numFmtId="164" fontId="5" fillId="0" borderId="28" xfId="1" applyNumberFormat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164" fontId="5" fillId="0" borderId="29" xfId="1" applyNumberFormat="1" applyFont="1" applyBorder="1" applyAlignment="1">
      <alignment horizontal="center" vertical="center"/>
    </xf>
    <xf numFmtId="164" fontId="5" fillId="0" borderId="31" xfId="1" applyNumberFormat="1" applyFont="1" applyBorder="1" applyAlignment="1">
      <alignment horizontal="center" vertical="center"/>
    </xf>
    <xf numFmtId="164" fontId="5" fillId="0" borderId="28" xfId="1" applyNumberFormat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164" fontId="3" fillId="10" borderId="38" xfId="1" applyNumberFormat="1" applyFont="1" applyFill="1" applyBorder="1" applyAlignment="1">
      <alignment horizontal="center" vertical="center"/>
    </xf>
    <xf numFmtId="164" fontId="3" fillId="10" borderId="0" xfId="1" applyNumberFormat="1" applyFont="1" applyFill="1" applyAlignment="1">
      <alignment horizontal="center" vertical="center"/>
    </xf>
    <xf numFmtId="164" fontId="3" fillId="10" borderId="39" xfId="1" applyNumberFormat="1" applyFont="1" applyFill="1" applyBorder="1" applyAlignment="1">
      <alignment horizontal="center" vertical="center"/>
    </xf>
    <xf numFmtId="164" fontId="12" fillId="10" borderId="0" xfId="1" applyNumberFormat="1" applyFont="1" applyFill="1" applyAlignment="1">
      <alignment horizontal="center" vertical="center"/>
    </xf>
    <xf numFmtId="164" fontId="12" fillId="10" borderId="1" xfId="1" applyNumberFormat="1" applyFont="1" applyFill="1" applyBorder="1" applyAlignment="1">
      <alignment horizontal="center" vertical="center"/>
    </xf>
    <xf numFmtId="164" fontId="3" fillId="10" borderId="3" xfId="1" applyNumberFormat="1" applyFont="1" applyFill="1" applyBorder="1" applyAlignment="1">
      <alignment horizontal="center" vertical="center"/>
    </xf>
    <xf numFmtId="164" fontId="3" fillId="10" borderId="4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4" xfId="1" applyFont="1" applyBorder="1" applyAlignment="1">
      <alignment horizontal="left" vertical="top" wrapText="1"/>
    </xf>
    <xf numFmtId="164" fontId="18" fillId="10" borderId="0" xfId="1" applyNumberFormat="1" applyFont="1" applyFill="1" applyAlignment="1">
      <alignment horizontal="center" vertical="center"/>
    </xf>
    <xf numFmtId="164" fontId="18" fillId="10" borderId="4" xfId="1" applyNumberFormat="1" applyFont="1" applyFill="1" applyBorder="1" applyAlignment="1">
      <alignment horizontal="center" vertical="center"/>
    </xf>
    <xf numFmtId="164" fontId="19" fillId="10" borderId="0" xfId="1" applyNumberFormat="1" applyFont="1" applyFill="1" applyAlignment="1">
      <alignment horizontal="center" vertical="center"/>
    </xf>
    <xf numFmtId="164" fontId="19" fillId="10" borderId="1" xfId="1" applyNumberFormat="1" applyFont="1" applyFill="1" applyBorder="1" applyAlignment="1">
      <alignment horizontal="center" vertical="center"/>
    </xf>
    <xf numFmtId="164" fontId="18" fillId="10" borderId="38" xfId="1" applyNumberFormat="1" applyFont="1" applyFill="1" applyBorder="1" applyAlignment="1">
      <alignment horizontal="center" vertical="center"/>
    </xf>
    <xf numFmtId="164" fontId="18" fillId="10" borderId="39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 wrapText="1"/>
    </xf>
    <xf numFmtId="0" fontId="6" fillId="0" borderId="0" xfId="1" applyFont="1" applyAlignment="1">
      <alignment horizontal="left" wrapText="1"/>
    </xf>
    <xf numFmtId="0" fontId="2" fillId="9" borderId="0" xfId="1" applyFont="1" applyFill="1" applyAlignment="1">
      <alignment horizontal="center"/>
    </xf>
    <xf numFmtId="0" fontId="9" fillId="5" borderId="15" xfId="1" applyFont="1" applyFill="1" applyBorder="1" applyAlignment="1">
      <alignment horizontal="center" vertical="center"/>
    </xf>
    <xf numFmtId="0" fontId="9" fillId="5" borderId="19" xfId="1" applyFont="1" applyFill="1" applyBorder="1" applyAlignment="1">
      <alignment horizontal="center" vertical="center"/>
    </xf>
    <xf numFmtId="0" fontId="9" fillId="5" borderId="20" xfId="1" applyFont="1" applyFill="1" applyBorder="1" applyAlignment="1">
      <alignment horizontal="center" vertical="center"/>
    </xf>
    <xf numFmtId="0" fontId="5" fillId="0" borderId="2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5" fillId="0" borderId="25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DAD8D9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15E7-6B19-4B2E-A94B-6610988C1731}">
  <sheetPr>
    <tabColor rgb="FFFFC000"/>
    <pageSetUpPr fitToPage="1"/>
  </sheetPr>
  <dimension ref="A1:V189"/>
  <sheetViews>
    <sheetView tabSelected="1" zoomScale="70" zoomScaleNormal="70" zoomScaleSheetLayoutView="40" workbookViewId="0">
      <pane xSplit="1" ySplit="7" topLeftCell="B38" activePane="bottomRight" state="frozen"/>
      <selection pane="bottomRight" activeCell="Q43" sqref="Q43"/>
      <selection pane="bottomLeft" activeCell="A11" sqref="A11"/>
      <selection pane="topRight" activeCell="C1" sqref="C1"/>
    </sheetView>
  </sheetViews>
  <sheetFormatPr defaultColWidth="0" defaultRowHeight="19.5" zeroHeight="1"/>
  <cols>
    <col min="1" max="1" width="60.5703125" style="1" bestFit="1" customWidth="1"/>
    <col min="2" max="2" width="16.42578125" style="3" customWidth="1"/>
    <col min="3" max="5" width="16.42578125" style="24" customWidth="1"/>
    <col min="6" max="9" width="5.5703125" style="25" hidden="1" customWidth="1"/>
    <col min="10" max="12" width="6.5703125" style="25" customWidth="1"/>
    <col min="13" max="13" width="7.42578125" style="25" customWidth="1"/>
    <col min="14" max="14" width="9.140625" style="26" customWidth="1"/>
    <col min="15" max="15" width="15.5703125" style="26" customWidth="1"/>
    <col min="16" max="16" width="9.42578125" style="26" customWidth="1"/>
    <col min="17" max="18" width="15.5703125" style="26" customWidth="1"/>
    <col min="19" max="19" width="13.42578125" style="1" hidden="1" customWidth="1"/>
    <col min="20" max="22" width="10.42578125" style="1" hidden="1" customWidth="1"/>
    <col min="23" max="16384" width="8" style="1" hidden="1"/>
  </cols>
  <sheetData>
    <row r="1" spans="1:18" ht="34.5" customHeight="1">
      <c r="A1" s="151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>
      <c r="A2" s="152" t="s">
        <v>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</row>
    <row r="3" spans="1:18">
      <c r="A3" s="153" t="s">
        <v>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</row>
    <row r="4" spans="1:18" ht="20.100000000000001" thickBot="1">
      <c r="A4" s="2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</row>
    <row r="5" spans="1:18" ht="20.100000000000001" thickBot="1">
      <c r="A5" s="2"/>
      <c r="B5" s="154" t="s">
        <v>3</v>
      </c>
      <c r="C5" s="155"/>
      <c r="D5" s="155"/>
      <c r="E5" s="156"/>
      <c r="F5" s="157" t="s">
        <v>4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9"/>
    </row>
    <row r="6" spans="1:18" ht="99.95" customHeight="1" thickBot="1">
      <c r="A6" s="102" t="s">
        <v>5</v>
      </c>
      <c r="B6" s="111" t="s">
        <v>6</v>
      </c>
      <c r="C6" s="103" t="s">
        <v>7</v>
      </c>
      <c r="D6" s="103" t="s">
        <v>8</v>
      </c>
      <c r="E6" s="112" t="s">
        <v>9</v>
      </c>
      <c r="F6" s="160" t="s">
        <v>10</v>
      </c>
      <c r="G6" s="160"/>
      <c r="H6" s="160"/>
      <c r="I6" s="161"/>
      <c r="J6" s="162" t="s">
        <v>11</v>
      </c>
      <c r="K6" s="160"/>
      <c r="L6" s="160"/>
      <c r="M6" s="161"/>
      <c r="N6" s="163" t="s">
        <v>12</v>
      </c>
      <c r="O6" s="164"/>
      <c r="P6" s="164"/>
      <c r="Q6" s="164"/>
      <c r="R6" s="165"/>
    </row>
    <row r="7" spans="1:18" s="6" customFormat="1">
      <c r="A7" s="104"/>
      <c r="B7" s="113"/>
      <c r="C7" s="105"/>
      <c r="D7" s="105"/>
      <c r="E7" s="114"/>
      <c r="F7" s="166" t="s">
        <v>13</v>
      </c>
      <c r="G7" s="167"/>
      <c r="H7" s="168" t="s">
        <v>14</v>
      </c>
      <c r="I7" s="167"/>
      <c r="J7" s="168" t="s">
        <v>13</v>
      </c>
      <c r="K7" s="167"/>
      <c r="L7" s="168" t="s">
        <v>14</v>
      </c>
      <c r="M7" s="167"/>
      <c r="N7" s="169" t="s">
        <v>15</v>
      </c>
      <c r="O7" s="170"/>
      <c r="P7" s="169" t="s">
        <v>16</v>
      </c>
      <c r="Q7" s="170"/>
      <c r="R7" s="106" t="s">
        <v>17</v>
      </c>
    </row>
    <row r="8" spans="1:18" s="89" customFormat="1">
      <c r="A8" s="86" t="s">
        <v>18</v>
      </c>
      <c r="B8" s="115" t="s">
        <v>19</v>
      </c>
      <c r="C8" s="94">
        <v>45664</v>
      </c>
      <c r="D8" s="97">
        <v>45697</v>
      </c>
      <c r="E8" s="116" t="s">
        <v>19</v>
      </c>
      <c r="F8" s="96"/>
      <c r="G8" s="96"/>
      <c r="H8" s="96"/>
      <c r="I8" s="96"/>
      <c r="J8" s="91"/>
      <c r="K8" s="96"/>
      <c r="L8" s="96"/>
      <c r="M8" s="92"/>
      <c r="N8" s="107" t="str">
        <f>TEXT(O8,"ddd")</f>
        <v>Tue</v>
      </c>
      <c r="O8" s="97">
        <v>45664</v>
      </c>
      <c r="P8" s="107" t="str">
        <f>TEXT(Q8,"ddd")</f>
        <v>Sun</v>
      </c>
      <c r="Q8" s="97">
        <v>45697</v>
      </c>
      <c r="R8" s="93">
        <f>Q8-O8+1</f>
        <v>34</v>
      </c>
    </row>
    <row r="9" spans="1:18">
      <c r="A9" s="78"/>
      <c r="B9" s="117"/>
      <c r="C9" s="85"/>
      <c r="D9" s="85"/>
      <c r="E9" s="118"/>
      <c r="F9" s="82"/>
      <c r="G9" s="82"/>
      <c r="H9" s="82"/>
      <c r="I9" s="82"/>
      <c r="J9" s="9"/>
      <c r="K9" s="82"/>
      <c r="L9" s="82"/>
      <c r="M9" s="10"/>
      <c r="N9" s="3"/>
      <c r="O9" s="4"/>
      <c r="P9" s="3"/>
      <c r="Q9" s="4"/>
      <c r="R9" s="79"/>
    </row>
    <row r="10" spans="1:18" s="89" customFormat="1">
      <c r="A10" s="86" t="s">
        <v>20</v>
      </c>
      <c r="B10" s="119">
        <v>45684</v>
      </c>
      <c r="C10" s="97">
        <v>45692</v>
      </c>
      <c r="D10" s="97">
        <v>45360</v>
      </c>
      <c r="E10" s="120" t="s">
        <v>21</v>
      </c>
      <c r="F10" s="96"/>
      <c r="G10" s="96"/>
      <c r="H10" s="96"/>
      <c r="I10" s="96"/>
      <c r="J10" s="91"/>
      <c r="K10" s="96"/>
      <c r="L10" s="96"/>
      <c r="M10" s="92"/>
      <c r="N10" s="107" t="str">
        <f>TEXT(O10,"ddd")</f>
        <v>Mon</v>
      </c>
      <c r="O10" s="97">
        <v>45698</v>
      </c>
      <c r="P10" s="107" t="str">
        <f>TEXT(Q10,"ddd")</f>
        <v>Sun</v>
      </c>
      <c r="Q10" s="97">
        <v>45725</v>
      </c>
      <c r="R10" s="93">
        <f>Q10-O10+1</f>
        <v>28</v>
      </c>
    </row>
    <row r="11" spans="1:18">
      <c r="A11" s="78"/>
      <c r="B11" s="121"/>
      <c r="C11" s="81"/>
      <c r="D11" s="98"/>
      <c r="E11" s="122"/>
      <c r="F11" s="82"/>
      <c r="G11" s="82"/>
      <c r="H11" s="82"/>
      <c r="I11" s="82"/>
      <c r="J11" s="9"/>
      <c r="K11" s="82"/>
      <c r="L11" s="82"/>
      <c r="M11" s="10"/>
      <c r="N11" s="108"/>
      <c r="O11" s="4"/>
      <c r="P11" s="4"/>
      <c r="Q11" s="4"/>
      <c r="R11" s="80"/>
    </row>
    <row r="12" spans="1:18" s="89" customFormat="1">
      <c r="A12" s="90" t="s">
        <v>22</v>
      </c>
      <c r="B12" s="123" t="s">
        <v>19</v>
      </c>
      <c r="C12" s="97" t="s">
        <v>23</v>
      </c>
      <c r="D12" s="97" t="s">
        <v>23</v>
      </c>
      <c r="E12" s="124" t="s">
        <v>19</v>
      </c>
      <c r="F12" s="96"/>
      <c r="G12" s="96"/>
      <c r="H12" s="96"/>
      <c r="I12" s="96"/>
      <c r="J12" s="91"/>
      <c r="K12" s="96"/>
      <c r="L12" s="96"/>
      <c r="M12" s="92"/>
      <c r="N12" s="107" t="str">
        <f>TEXT(O12,"ddd")</f>
        <v>Mon</v>
      </c>
      <c r="O12" s="97">
        <v>45719</v>
      </c>
      <c r="P12" s="107" t="str">
        <f>TEXT(Q12,"ddd")</f>
        <v>Sun</v>
      </c>
      <c r="Q12" s="97">
        <v>45746</v>
      </c>
      <c r="R12" s="93">
        <f>Q12-O12+1</f>
        <v>28</v>
      </c>
    </row>
    <row r="13" spans="1:18" s="11" customFormat="1" ht="26.25" customHeight="1">
      <c r="A13" s="8"/>
      <c r="B13" s="117"/>
      <c r="C13" s="85"/>
      <c r="D13" s="85"/>
      <c r="E13" s="118"/>
      <c r="F13" s="82"/>
      <c r="G13" s="82"/>
      <c r="H13" s="82"/>
      <c r="I13" s="82"/>
      <c r="J13" s="9"/>
      <c r="K13" s="82"/>
      <c r="L13" s="82"/>
      <c r="M13" s="10"/>
      <c r="N13" s="85"/>
      <c r="O13" s="81"/>
      <c r="P13" s="85"/>
      <c r="Q13" s="81"/>
      <c r="R13" s="80"/>
    </row>
    <row r="14" spans="1:18" s="89" customFormat="1">
      <c r="A14" s="86" t="s">
        <v>24</v>
      </c>
      <c r="B14" s="119">
        <v>45318</v>
      </c>
      <c r="C14" s="97">
        <v>45692</v>
      </c>
      <c r="D14" s="97">
        <v>45374</v>
      </c>
      <c r="E14" s="120" t="s">
        <v>25</v>
      </c>
      <c r="F14" s="174"/>
      <c r="G14" s="174"/>
      <c r="H14" s="174"/>
      <c r="I14" s="175"/>
      <c r="J14" s="87" t="str">
        <f>TEXT(K14,"ddd")</f>
        <v>Mon</v>
      </c>
      <c r="K14" s="97">
        <v>45698</v>
      </c>
      <c r="L14" s="107" t="str">
        <f>TEXT(M14,"ddd")</f>
        <v>Sun</v>
      </c>
      <c r="M14" s="88">
        <v>45739</v>
      </c>
      <c r="N14" s="176" t="s">
        <v>26</v>
      </c>
      <c r="O14" s="172"/>
      <c r="P14" s="172"/>
      <c r="Q14" s="172"/>
      <c r="R14" s="177"/>
    </row>
    <row r="15" spans="1:18">
      <c r="A15" s="8"/>
      <c r="B15" s="121"/>
      <c r="C15" s="99"/>
      <c r="D15" s="99"/>
      <c r="E15" s="118"/>
      <c r="F15" s="82"/>
      <c r="G15" s="82"/>
      <c r="H15" s="82"/>
      <c r="I15" s="82"/>
      <c r="J15" s="9"/>
      <c r="K15" s="82"/>
      <c r="L15" s="82"/>
      <c r="M15" s="10"/>
      <c r="N15" s="85"/>
      <c r="O15" s="81"/>
      <c r="P15" s="85"/>
      <c r="Q15" s="81"/>
      <c r="R15" s="80"/>
    </row>
    <row r="16" spans="1:18" s="89" customFormat="1">
      <c r="A16" s="86" t="s">
        <v>27</v>
      </c>
      <c r="B16" s="171" t="s">
        <v>19</v>
      </c>
      <c r="C16" s="172"/>
      <c r="D16" s="172"/>
      <c r="E16" s="173"/>
      <c r="F16" s="97"/>
      <c r="G16" s="97"/>
      <c r="H16" s="97"/>
      <c r="I16" s="97"/>
      <c r="J16" s="95"/>
      <c r="K16" s="97"/>
      <c r="L16" s="97"/>
      <c r="M16" s="88"/>
      <c r="N16" s="107" t="str">
        <f>TEXT(O16,"ddd")</f>
        <v>Mon</v>
      </c>
      <c r="O16" s="97">
        <v>45726</v>
      </c>
      <c r="P16" s="107" t="str">
        <f>TEXT(Q16,"ddd")</f>
        <v>Mon</v>
      </c>
      <c r="Q16" s="97">
        <v>45747</v>
      </c>
      <c r="R16" s="93">
        <f>Q16-O16+1</f>
        <v>22</v>
      </c>
    </row>
    <row r="17" spans="1:18">
      <c r="A17" s="8"/>
      <c r="B17" s="121"/>
      <c r="C17" s="81"/>
      <c r="D17" s="81"/>
      <c r="E17" s="122"/>
      <c r="F17" s="81"/>
      <c r="G17" s="81"/>
      <c r="H17" s="81"/>
      <c r="I17" s="81"/>
      <c r="J17" s="13"/>
      <c r="K17" s="81"/>
      <c r="L17" s="81"/>
      <c r="M17" s="14"/>
      <c r="N17" s="109"/>
      <c r="O17" s="81"/>
      <c r="P17" s="81"/>
      <c r="Q17" s="81"/>
      <c r="R17" s="80"/>
    </row>
    <row r="18" spans="1:18" s="89" customFormat="1">
      <c r="A18" s="86" t="s">
        <v>28</v>
      </c>
      <c r="B18" s="119" t="s">
        <v>19</v>
      </c>
      <c r="C18" s="97">
        <v>45748</v>
      </c>
      <c r="D18" s="97">
        <v>45774</v>
      </c>
      <c r="E18" s="120" t="s">
        <v>29</v>
      </c>
      <c r="F18" s="96"/>
      <c r="G18" s="96"/>
      <c r="H18" s="96"/>
      <c r="I18" s="96"/>
      <c r="J18" s="91"/>
      <c r="K18" s="96"/>
      <c r="L18" s="96"/>
      <c r="M18" s="92"/>
      <c r="N18" s="107" t="str">
        <f>TEXT(O18,"ddd")</f>
        <v>Tue</v>
      </c>
      <c r="O18" s="97">
        <v>45748</v>
      </c>
      <c r="P18" s="107" t="str">
        <f>TEXT(Q18,"ddd")</f>
        <v>Sun</v>
      </c>
      <c r="Q18" s="97">
        <v>45774</v>
      </c>
      <c r="R18" s="93">
        <f>Q18-O18+1</f>
        <v>27</v>
      </c>
    </row>
    <row r="19" spans="1:18">
      <c r="A19" s="8"/>
      <c r="B19" s="121"/>
      <c r="C19" s="81"/>
      <c r="D19" s="81"/>
      <c r="E19" s="122"/>
      <c r="F19" s="82"/>
      <c r="G19" s="82"/>
      <c r="H19" s="82"/>
      <c r="I19" s="82"/>
      <c r="J19" s="9"/>
      <c r="K19" s="82"/>
      <c r="L19" s="82"/>
      <c r="M19" s="10"/>
      <c r="N19" s="85"/>
      <c r="O19" s="81"/>
      <c r="P19" s="85"/>
      <c r="Q19" s="81"/>
      <c r="R19" s="80"/>
    </row>
    <row r="20" spans="1:18" s="89" customFormat="1">
      <c r="A20" s="140" t="s">
        <v>30</v>
      </c>
      <c r="B20" s="119" t="s">
        <v>19</v>
      </c>
      <c r="C20" s="128">
        <v>45762</v>
      </c>
      <c r="D20" s="97">
        <v>45781</v>
      </c>
      <c r="E20" s="120" t="s">
        <v>19</v>
      </c>
      <c r="F20" s="96"/>
      <c r="G20" s="96"/>
      <c r="H20" s="96"/>
      <c r="I20" s="96"/>
      <c r="J20" s="91"/>
      <c r="K20" s="96"/>
      <c r="L20" s="96"/>
      <c r="M20" s="92"/>
      <c r="N20" s="137" t="str">
        <f>TEXT(O20,"ddd")</f>
        <v>Tue</v>
      </c>
      <c r="O20" s="129">
        <v>45762</v>
      </c>
      <c r="P20" s="107" t="str">
        <f>TEXT(Q20,"ddd")</f>
        <v>Sun</v>
      </c>
      <c r="Q20" s="97">
        <v>45781</v>
      </c>
      <c r="R20" s="93">
        <f>Q20-O20+1</f>
        <v>20</v>
      </c>
    </row>
    <row r="21" spans="1:18" s="11" customFormat="1">
      <c r="A21" s="8"/>
      <c r="B21" s="121"/>
      <c r="C21" s="81"/>
      <c r="D21" s="81"/>
      <c r="E21" s="122"/>
      <c r="F21" s="82"/>
      <c r="G21" s="82"/>
      <c r="H21" s="82"/>
      <c r="I21" s="82"/>
      <c r="J21" s="9"/>
      <c r="K21" s="82"/>
      <c r="L21" s="82"/>
      <c r="M21" s="10"/>
      <c r="N21" s="85"/>
      <c r="O21" s="81"/>
      <c r="P21" s="85"/>
      <c r="Q21" s="81"/>
      <c r="R21" s="80"/>
    </row>
    <row r="22" spans="1:18" s="89" customFormat="1">
      <c r="A22" s="86" t="s">
        <v>31</v>
      </c>
      <c r="B22" s="119">
        <v>45768</v>
      </c>
      <c r="C22" s="97">
        <v>45776</v>
      </c>
      <c r="D22" s="100">
        <v>45823</v>
      </c>
      <c r="E22" s="120" t="s">
        <v>19</v>
      </c>
      <c r="F22" s="96"/>
      <c r="G22" s="96"/>
      <c r="H22" s="96"/>
      <c r="I22" s="96"/>
      <c r="J22" s="91"/>
      <c r="K22" s="96"/>
      <c r="L22" s="96"/>
      <c r="M22" s="92"/>
      <c r="N22" s="107" t="str">
        <f>TEXT(O22,"ddd")</f>
        <v>Mon</v>
      </c>
      <c r="O22" s="97">
        <v>45782</v>
      </c>
      <c r="P22" s="137" t="str">
        <f>TEXT(Q22,"ddd")</f>
        <v>Mon</v>
      </c>
      <c r="Q22" s="142">
        <v>45824</v>
      </c>
      <c r="R22" s="93">
        <f>Q22-O22+1</f>
        <v>43</v>
      </c>
    </row>
    <row r="23" spans="1:18" s="11" customFormat="1">
      <c r="A23" s="8"/>
      <c r="B23" s="121"/>
      <c r="C23" s="99"/>
      <c r="D23" s="99"/>
      <c r="E23" s="118"/>
      <c r="F23" s="81"/>
      <c r="G23" s="81"/>
      <c r="H23" s="81"/>
      <c r="I23" s="81"/>
      <c r="J23" s="13"/>
      <c r="K23" s="81"/>
      <c r="L23" s="81"/>
      <c r="M23" s="14"/>
      <c r="N23" s="85"/>
      <c r="O23" s="81"/>
      <c r="P23" s="85"/>
      <c r="Q23" s="81"/>
      <c r="R23" s="80"/>
    </row>
    <row r="24" spans="1:18" s="89" customFormat="1">
      <c r="A24" s="130" t="s">
        <v>32</v>
      </c>
      <c r="B24" s="125" t="s">
        <v>33</v>
      </c>
      <c r="C24" s="97">
        <v>45818</v>
      </c>
      <c r="D24" s="97">
        <v>45851</v>
      </c>
      <c r="E24" s="126" t="s">
        <v>34</v>
      </c>
      <c r="F24" s="174"/>
      <c r="G24" s="174"/>
      <c r="H24" s="174"/>
      <c r="I24" s="175"/>
      <c r="J24" s="87" t="str">
        <f>TEXT(K24,"ddd")</f>
        <v>Mon</v>
      </c>
      <c r="K24" s="97">
        <v>45824</v>
      </c>
      <c r="L24" s="107" t="str">
        <f>TEXT(M24,"ddd")</f>
        <v>Sun</v>
      </c>
      <c r="M24" s="88">
        <v>45851</v>
      </c>
      <c r="N24" s="110"/>
      <c r="O24" s="97" t="s">
        <v>19</v>
      </c>
      <c r="P24" s="110"/>
      <c r="Q24" s="97" t="s">
        <v>19</v>
      </c>
      <c r="R24" s="93"/>
    </row>
    <row r="25" spans="1:18" s="11" customFormat="1">
      <c r="A25" s="8"/>
      <c r="B25" s="127"/>
      <c r="C25" s="81"/>
      <c r="D25" s="81"/>
      <c r="E25" s="122"/>
      <c r="F25" s="81"/>
      <c r="G25" s="81"/>
      <c r="H25" s="81"/>
      <c r="I25" s="81"/>
      <c r="J25" s="13"/>
      <c r="K25" s="81"/>
      <c r="L25" s="81"/>
      <c r="M25" s="14"/>
      <c r="N25" s="85"/>
      <c r="O25" s="81"/>
      <c r="P25" s="85"/>
      <c r="Q25" s="81"/>
      <c r="R25" s="80"/>
    </row>
    <row r="26" spans="1:18" s="139" customFormat="1">
      <c r="A26" s="130" t="s">
        <v>35</v>
      </c>
      <c r="B26" s="133" t="s">
        <v>19</v>
      </c>
      <c r="C26" s="129">
        <v>45825</v>
      </c>
      <c r="D26" s="129">
        <v>45851</v>
      </c>
      <c r="E26" s="134" t="s">
        <v>19</v>
      </c>
      <c r="F26" s="129"/>
      <c r="G26" s="129"/>
      <c r="H26" s="129"/>
      <c r="I26" s="129"/>
      <c r="J26" s="135"/>
      <c r="K26" s="129"/>
      <c r="L26" s="129"/>
      <c r="M26" s="136"/>
      <c r="N26" s="137" t="str">
        <f>TEXT(O26,"ddd")</f>
        <v>Tue</v>
      </c>
      <c r="O26" s="129">
        <v>45825</v>
      </c>
      <c r="P26" s="137" t="str">
        <f>TEXT(Q26,"ddd")</f>
        <v>Sun</v>
      </c>
      <c r="Q26" s="129">
        <v>45851</v>
      </c>
      <c r="R26" s="138">
        <f>Q26-O26+1</f>
        <v>27</v>
      </c>
    </row>
    <row r="27" spans="1:18" s="11" customFormat="1">
      <c r="A27" s="8"/>
      <c r="B27" s="121"/>
      <c r="C27" s="81"/>
      <c r="D27" s="81"/>
      <c r="E27" s="122"/>
      <c r="F27" s="81"/>
      <c r="G27" s="81"/>
      <c r="H27" s="81"/>
      <c r="I27" s="81"/>
      <c r="J27" s="13"/>
      <c r="K27" s="81"/>
      <c r="L27" s="81"/>
      <c r="M27" s="14"/>
      <c r="N27" s="85"/>
      <c r="O27" s="81"/>
      <c r="P27" s="85"/>
      <c r="Q27" s="81"/>
      <c r="R27" s="80"/>
    </row>
    <row r="28" spans="1:18" s="139" customFormat="1">
      <c r="A28" s="130" t="s">
        <v>36</v>
      </c>
      <c r="B28" s="129">
        <v>45838</v>
      </c>
      <c r="C28" s="129">
        <v>45481</v>
      </c>
      <c r="D28" s="129">
        <v>45872</v>
      </c>
      <c r="E28" s="134" t="s">
        <v>19</v>
      </c>
      <c r="F28" s="129"/>
      <c r="G28" s="129"/>
      <c r="H28" s="129"/>
      <c r="I28" s="129"/>
      <c r="J28" s="135"/>
      <c r="K28" s="129"/>
      <c r="L28" s="129"/>
      <c r="M28" s="136"/>
      <c r="N28" s="137" t="str">
        <f>TEXT(O28,"ddd")</f>
        <v>Mon</v>
      </c>
      <c r="O28" s="129">
        <v>45852</v>
      </c>
      <c r="P28" s="137" t="str">
        <f>TEXT(Q28,"ddd")</f>
        <v>Sun</v>
      </c>
      <c r="Q28" s="129">
        <v>45872</v>
      </c>
      <c r="R28" s="138">
        <f>Q28-O28+1</f>
        <v>21</v>
      </c>
    </row>
    <row r="29" spans="1:18">
      <c r="A29" s="8"/>
      <c r="B29" s="121"/>
      <c r="C29" s="81"/>
      <c r="D29" s="81"/>
      <c r="E29" s="122"/>
      <c r="F29" s="81"/>
      <c r="G29" s="81"/>
      <c r="H29" s="81"/>
      <c r="I29" s="81"/>
      <c r="J29" s="13"/>
      <c r="K29" s="81"/>
      <c r="L29" s="81"/>
      <c r="M29" s="14"/>
      <c r="N29" s="109"/>
      <c r="O29" s="81"/>
      <c r="P29" s="81"/>
      <c r="Q29" s="81"/>
      <c r="R29" s="80"/>
    </row>
    <row r="30" spans="1:18" s="139" customFormat="1">
      <c r="A30" s="140" t="s">
        <v>37</v>
      </c>
      <c r="B30" s="131" t="s">
        <v>19</v>
      </c>
      <c r="C30" s="128" t="s">
        <v>23</v>
      </c>
      <c r="D30" s="128" t="s">
        <v>23</v>
      </c>
      <c r="E30" s="132" t="s">
        <v>19</v>
      </c>
      <c r="F30" s="183"/>
      <c r="G30" s="183"/>
      <c r="H30" s="183"/>
      <c r="I30" s="184"/>
      <c r="J30" s="135"/>
      <c r="K30" s="129"/>
      <c r="L30" s="129"/>
      <c r="M30" s="136"/>
      <c r="N30" s="137" t="str">
        <f>TEXT(O30,"ddd")</f>
        <v>Mon</v>
      </c>
      <c r="O30" s="129">
        <v>45852</v>
      </c>
      <c r="P30" s="137" t="str">
        <f>TEXT(Q30,"ddd")</f>
        <v>Sun</v>
      </c>
      <c r="Q30" s="129">
        <v>45872</v>
      </c>
      <c r="R30" s="138">
        <f>Q30-O30+1</f>
        <v>21</v>
      </c>
    </row>
    <row r="31" spans="1:18" s="148" customFormat="1">
      <c r="A31" s="8"/>
      <c r="B31" s="144"/>
      <c r="C31" s="145"/>
      <c r="D31" s="145"/>
      <c r="E31" s="146"/>
      <c r="F31" s="82"/>
      <c r="G31" s="82"/>
      <c r="H31" s="82"/>
      <c r="I31" s="82"/>
      <c r="J31" s="9"/>
      <c r="K31" s="82"/>
      <c r="L31" s="82"/>
      <c r="M31" s="10"/>
      <c r="N31" s="82"/>
      <c r="O31" s="82"/>
      <c r="P31" s="82"/>
      <c r="Q31" s="82"/>
      <c r="R31" s="147"/>
    </row>
    <row r="32" spans="1:18" s="139" customFormat="1">
      <c r="A32" s="130" t="s">
        <v>38</v>
      </c>
      <c r="B32" s="131" t="s">
        <v>19</v>
      </c>
      <c r="C32" s="129">
        <v>45881</v>
      </c>
      <c r="D32" s="129">
        <v>45907</v>
      </c>
      <c r="E32" s="134" t="s">
        <v>39</v>
      </c>
      <c r="F32" s="129"/>
      <c r="G32" s="129"/>
      <c r="H32" s="129"/>
      <c r="I32" s="129"/>
      <c r="J32" s="135"/>
      <c r="K32" s="129"/>
      <c r="L32" s="129"/>
      <c r="M32" s="136"/>
      <c r="N32" s="137" t="str">
        <f>TEXT(O32,"ddd")</f>
        <v>Tue</v>
      </c>
      <c r="O32" s="129">
        <v>45881</v>
      </c>
      <c r="P32" s="137" t="str">
        <f>TEXT(Q32,"ddd")</f>
        <v>Sun</v>
      </c>
      <c r="Q32" s="129">
        <v>45907</v>
      </c>
      <c r="R32" s="138">
        <f>Q32-O32+1</f>
        <v>27</v>
      </c>
    </row>
    <row r="33" spans="1:18">
      <c r="A33" s="8"/>
      <c r="B33" s="121"/>
      <c r="C33" s="81"/>
      <c r="D33" s="81"/>
      <c r="E33" s="122"/>
      <c r="F33" s="81"/>
      <c r="G33" s="81"/>
      <c r="H33" s="81"/>
      <c r="I33" s="81"/>
      <c r="J33" s="13"/>
      <c r="K33" s="81"/>
      <c r="L33" s="81"/>
      <c r="M33" s="14"/>
      <c r="N33" s="109"/>
      <c r="O33" s="81"/>
      <c r="P33" s="81"/>
      <c r="Q33" s="81"/>
      <c r="R33" s="80"/>
    </row>
    <row r="34" spans="1:18" s="139" customFormat="1">
      <c r="A34" s="130" t="s">
        <v>18</v>
      </c>
      <c r="B34" s="133" t="s">
        <v>19</v>
      </c>
      <c r="C34" s="129">
        <v>45888</v>
      </c>
      <c r="D34" s="129">
        <v>45907</v>
      </c>
      <c r="E34" s="134" t="s">
        <v>19</v>
      </c>
      <c r="F34" s="129"/>
      <c r="G34" s="129"/>
      <c r="H34" s="129"/>
      <c r="I34" s="129"/>
      <c r="J34" s="135"/>
      <c r="K34" s="129"/>
      <c r="L34" s="129"/>
      <c r="M34" s="136"/>
      <c r="N34" s="137" t="str">
        <f>TEXT(O34,"ddd")</f>
        <v>Tue</v>
      </c>
      <c r="O34" s="129">
        <v>45888</v>
      </c>
      <c r="P34" s="137" t="str">
        <f>TEXT(Q34,"ddd")</f>
        <v>Sun</v>
      </c>
      <c r="Q34" s="129">
        <v>45907</v>
      </c>
      <c r="R34" s="138">
        <f>Q34-O34+1</f>
        <v>20</v>
      </c>
    </row>
    <row r="35" spans="1:18" s="11" customFormat="1">
      <c r="A35" s="8"/>
      <c r="B35" s="121"/>
      <c r="C35" s="81"/>
      <c r="D35" s="81"/>
      <c r="E35" s="122"/>
      <c r="F35" s="81"/>
      <c r="G35" s="81"/>
      <c r="H35" s="81"/>
      <c r="I35" s="81"/>
      <c r="J35" s="13"/>
      <c r="K35" s="81"/>
      <c r="L35" s="81"/>
      <c r="M35" s="14"/>
      <c r="N35" s="85"/>
      <c r="O35" s="99"/>
      <c r="P35" s="85"/>
      <c r="Q35" s="99"/>
      <c r="R35" s="80"/>
    </row>
    <row r="36" spans="1:18" s="139" customFormat="1">
      <c r="A36" s="130" t="s">
        <v>40</v>
      </c>
      <c r="B36" s="133">
        <v>45894</v>
      </c>
      <c r="C36" s="129">
        <v>45902</v>
      </c>
      <c r="D36" s="129">
        <v>45935</v>
      </c>
      <c r="E36" s="141" t="s">
        <v>41</v>
      </c>
      <c r="F36" s="129"/>
      <c r="G36" s="129"/>
      <c r="H36" s="129"/>
      <c r="I36" s="129"/>
      <c r="J36" s="135"/>
      <c r="K36" s="129"/>
      <c r="L36" s="129"/>
      <c r="M36" s="136"/>
      <c r="N36" s="137" t="str">
        <f>TEXT(O36,"ddd")</f>
        <v>Mon</v>
      </c>
      <c r="O36" s="129">
        <v>45908</v>
      </c>
      <c r="P36" s="137" t="str">
        <f>TEXT(Q36,"ddd")</f>
        <v>Sun</v>
      </c>
      <c r="Q36" s="129">
        <v>45935</v>
      </c>
      <c r="R36" s="138">
        <f>Q36-O36+1</f>
        <v>28</v>
      </c>
    </row>
    <row r="37" spans="1:18" s="11" customFormat="1">
      <c r="A37" s="8"/>
      <c r="B37" s="121"/>
      <c r="C37" s="81"/>
      <c r="D37" s="81"/>
      <c r="E37" s="122"/>
      <c r="F37" s="81"/>
      <c r="G37" s="81"/>
      <c r="H37" s="81"/>
      <c r="I37" s="81"/>
      <c r="J37" s="13"/>
      <c r="K37" s="81"/>
      <c r="L37" s="81"/>
      <c r="M37" s="14"/>
      <c r="N37" s="85"/>
      <c r="O37" s="81"/>
      <c r="P37" s="85"/>
      <c r="Q37" s="81"/>
      <c r="R37" s="80"/>
    </row>
    <row r="38" spans="1:18" s="139" customFormat="1">
      <c r="A38" s="140" t="s">
        <v>22</v>
      </c>
      <c r="B38" s="131" t="s">
        <v>19</v>
      </c>
      <c r="C38" s="128" t="s">
        <v>23</v>
      </c>
      <c r="D38" s="128" t="s">
        <v>23</v>
      </c>
      <c r="E38" s="132" t="s">
        <v>19</v>
      </c>
      <c r="F38" s="183"/>
      <c r="G38" s="183"/>
      <c r="H38" s="183"/>
      <c r="I38" s="184"/>
      <c r="J38" s="135"/>
      <c r="K38" s="129"/>
      <c r="L38" s="129"/>
      <c r="M38" s="136"/>
      <c r="N38" s="137" t="str">
        <f>TEXT(O38,"ddd")</f>
        <v>Mon</v>
      </c>
      <c r="O38" s="129">
        <v>45908</v>
      </c>
      <c r="P38" s="137" t="str">
        <f>TEXT(Q38,"ddd")</f>
        <v>Sun</v>
      </c>
      <c r="Q38" s="129">
        <v>45935</v>
      </c>
      <c r="R38" s="138">
        <f>Q38-O38+1</f>
        <v>28</v>
      </c>
    </row>
    <row r="39" spans="1:18">
      <c r="A39" s="8"/>
      <c r="B39" s="121"/>
      <c r="C39" s="81"/>
      <c r="D39" s="81"/>
      <c r="E39" s="122"/>
      <c r="F39" s="81"/>
      <c r="G39" s="81"/>
      <c r="H39" s="81"/>
      <c r="I39" s="81"/>
      <c r="J39" s="13"/>
      <c r="K39" s="81"/>
      <c r="L39" s="81"/>
      <c r="M39" s="14"/>
      <c r="N39" s="85"/>
      <c r="O39" s="99"/>
      <c r="P39" s="85"/>
      <c r="Q39" s="99"/>
      <c r="R39" s="80"/>
    </row>
    <row r="40" spans="1:18" s="139" customFormat="1">
      <c r="A40" s="130" t="s">
        <v>42</v>
      </c>
      <c r="B40" s="133">
        <v>45894</v>
      </c>
      <c r="C40" s="129">
        <v>45902</v>
      </c>
      <c r="D40" s="129">
        <v>45935</v>
      </c>
      <c r="E40" s="141" t="s">
        <v>41</v>
      </c>
      <c r="F40" s="129"/>
      <c r="G40" s="129"/>
      <c r="H40" s="129"/>
      <c r="I40" s="129"/>
      <c r="J40" s="149" t="str">
        <f>TEXT(K40,"ddd")</f>
        <v>Mon</v>
      </c>
      <c r="K40" s="129">
        <v>45908</v>
      </c>
      <c r="L40" s="137" t="str">
        <f>TEXT(M40,"ddd")</f>
        <v>Sun</v>
      </c>
      <c r="M40" s="136">
        <v>45935</v>
      </c>
      <c r="N40" s="181" t="s">
        <v>19</v>
      </c>
      <c r="O40" s="181"/>
      <c r="P40" s="181"/>
      <c r="Q40" s="181"/>
      <c r="R40" s="182"/>
    </row>
    <row r="41" spans="1:18">
      <c r="A41" s="8"/>
      <c r="B41" s="121"/>
      <c r="C41" s="81"/>
      <c r="D41" s="81"/>
      <c r="E41" s="122"/>
      <c r="F41" s="81"/>
      <c r="G41" s="81"/>
      <c r="H41" s="81"/>
      <c r="I41" s="81"/>
      <c r="J41" s="13"/>
      <c r="K41" s="81"/>
      <c r="L41" s="81"/>
      <c r="M41" s="14"/>
      <c r="N41" s="85"/>
      <c r="O41" s="99"/>
      <c r="P41" s="85"/>
      <c r="Q41" s="99"/>
      <c r="R41" s="80"/>
    </row>
    <row r="42" spans="1:18" s="139" customFormat="1">
      <c r="A42" s="130" t="s">
        <v>43</v>
      </c>
      <c r="B42" s="185" t="s">
        <v>19</v>
      </c>
      <c r="C42" s="181"/>
      <c r="D42" s="181"/>
      <c r="E42" s="186"/>
      <c r="F42" s="129"/>
      <c r="G42" s="129"/>
      <c r="H42" s="129"/>
      <c r="I42" s="136"/>
      <c r="J42" s="129"/>
      <c r="K42" s="129"/>
      <c r="L42" s="129"/>
      <c r="M42" s="136"/>
      <c r="N42" s="137" t="str">
        <f>TEXT(O42,"ddd")</f>
        <v>Mon</v>
      </c>
      <c r="O42" s="129">
        <v>45936</v>
      </c>
      <c r="P42" s="137" t="str">
        <f>TEXT(Q42,"ddd")</f>
        <v>Sun</v>
      </c>
      <c r="Q42" s="129">
        <v>45963</v>
      </c>
      <c r="R42" s="138">
        <f>Q42-O42+1</f>
        <v>28</v>
      </c>
    </row>
    <row r="43" spans="1:18" s="11" customFormat="1">
      <c r="A43" s="8"/>
      <c r="B43" s="121"/>
      <c r="C43" s="81"/>
      <c r="D43" s="81"/>
      <c r="E43" s="122"/>
      <c r="F43" s="81"/>
      <c r="G43" s="81"/>
      <c r="H43" s="81"/>
      <c r="I43" s="14"/>
      <c r="J43" s="81"/>
      <c r="K43" s="81"/>
      <c r="L43" s="81"/>
      <c r="M43" s="14"/>
      <c r="N43" s="143"/>
      <c r="O43" s="81"/>
      <c r="P43" s="143"/>
      <c r="Q43" s="81"/>
      <c r="R43" s="80"/>
    </row>
    <row r="44" spans="1:18" s="89" customFormat="1">
      <c r="A44" s="130" t="s">
        <v>38</v>
      </c>
      <c r="B44" s="119" t="s">
        <v>19</v>
      </c>
      <c r="C44" s="101">
        <v>45965</v>
      </c>
      <c r="D44" s="142">
        <v>45984</v>
      </c>
      <c r="E44" s="150" t="s">
        <v>44</v>
      </c>
      <c r="F44" s="97"/>
      <c r="G44" s="97"/>
      <c r="H44" s="97"/>
      <c r="I44" s="88"/>
      <c r="J44" s="95"/>
      <c r="K44" s="97"/>
      <c r="L44" s="97"/>
      <c r="M44" s="88"/>
      <c r="N44" s="107" t="str">
        <f>TEXT(O44,"ddd")</f>
        <v>Tue</v>
      </c>
      <c r="O44" s="100">
        <v>45965</v>
      </c>
      <c r="P44" s="137" t="str">
        <f>TEXT(Q44,"ddd")</f>
        <v>Sun</v>
      </c>
      <c r="Q44" s="142">
        <v>45984</v>
      </c>
      <c r="R44" s="93">
        <f>Q44-O44+1</f>
        <v>20</v>
      </c>
    </row>
    <row r="45" spans="1:18">
      <c r="A45" s="8"/>
      <c r="B45" s="121"/>
      <c r="C45" s="81"/>
      <c r="D45" s="81"/>
      <c r="E45" s="122"/>
      <c r="F45" s="81"/>
      <c r="G45" s="81"/>
      <c r="H45" s="81"/>
      <c r="I45" s="14"/>
      <c r="J45" s="13"/>
      <c r="K45" s="81"/>
      <c r="L45" s="81"/>
      <c r="M45" s="14"/>
      <c r="N45" s="109"/>
      <c r="O45" s="81"/>
      <c r="P45" s="81"/>
      <c r="Q45" s="81"/>
      <c r="R45" s="80"/>
    </row>
    <row r="46" spans="1:18" s="89" customFormat="1">
      <c r="A46" s="86" t="s">
        <v>35</v>
      </c>
      <c r="B46" s="119" t="s">
        <v>19</v>
      </c>
      <c r="C46" s="97">
        <v>45965</v>
      </c>
      <c r="D46" s="100">
        <v>45991</v>
      </c>
      <c r="E46" s="124" t="s">
        <v>19</v>
      </c>
      <c r="F46" s="174"/>
      <c r="G46" s="174"/>
      <c r="H46" s="174"/>
      <c r="I46" s="175"/>
      <c r="J46" s="91"/>
      <c r="K46" s="96"/>
      <c r="L46" s="96"/>
      <c r="M46" s="92"/>
      <c r="N46" s="107" t="str">
        <f>TEXT(O46,"ddd")</f>
        <v>Tue</v>
      </c>
      <c r="O46" s="100">
        <v>45965</v>
      </c>
      <c r="P46" s="107" t="str">
        <f>TEXT(Q46,"ddd")</f>
        <v>Sun</v>
      </c>
      <c r="Q46" s="100">
        <v>45991</v>
      </c>
      <c r="R46" s="93">
        <f>Q46-O46+1</f>
        <v>27</v>
      </c>
    </row>
    <row r="47" spans="1:18">
      <c r="A47" s="8"/>
      <c r="B47" s="121"/>
      <c r="C47" s="81"/>
      <c r="D47" s="81"/>
      <c r="E47" s="122"/>
      <c r="F47" s="81"/>
      <c r="G47" s="81"/>
      <c r="H47" s="81"/>
      <c r="I47" s="14"/>
      <c r="J47" s="13"/>
      <c r="K47" s="81"/>
      <c r="L47" s="81"/>
      <c r="M47" s="14"/>
      <c r="N47" s="109"/>
      <c r="O47" s="81"/>
      <c r="P47" s="81"/>
      <c r="Q47" s="81"/>
      <c r="R47" s="80"/>
    </row>
    <row r="48" spans="1:18" s="89" customFormat="1">
      <c r="A48" s="130" t="s">
        <v>45</v>
      </c>
      <c r="B48" s="119" t="s">
        <v>19</v>
      </c>
      <c r="C48" s="97">
        <v>45986</v>
      </c>
      <c r="D48" s="97">
        <v>46012</v>
      </c>
      <c r="E48" s="124" t="s">
        <v>19</v>
      </c>
      <c r="F48" s="174"/>
      <c r="G48" s="174"/>
      <c r="H48" s="174"/>
      <c r="I48" s="175"/>
      <c r="J48" s="91"/>
      <c r="K48" s="96"/>
      <c r="L48" s="96"/>
      <c r="M48" s="92"/>
      <c r="N48" s="107" t="str">
        <f>TEXT(O48,"ddd")</f>
        <v>Mon</v>
      </c>
      <c r="O48" s="97">
        <v>45992</v>
      </c>
      <c r="P48" s="107" t="str">
        <f>TEXT(Q48,"ddd")</f>
        <v>Sun</v>
      </c>
      <c r="Q48" s="97">
        <v>46012</v>
      </c>
      <c r="R48" s="93">
        <f>Q48-O48+1</f>
        <v>21</v>
      </c>
    </row>
    <row r="49" spans="1:18" s="11" customFormat="1">
      <c r="A49" s="8"/>
      <c r="B49" s="121"/>
      <c r="C49" s="81"/>
      <c r="D49" s="81"/>
      <c r="E49" s="122"/>
      <c r="F49" s="83"/>
      <c r="G49" s="83"/>
      <c r="H49" s="83"/>
      <c r="I49" s="84"/>
      <c r="J49" s="9"/>
      <c r="K49" s="82"/>
      <c r="L49" s="82"/>
      <c r="M49" s="10"/>
      <c r="N49" s="85"/>
      <c r="O49" s="81"/>
      <c r="P49" s="85"/>
      <c r="Q49" s="81"/>
      <c r="R49" s="80"/>
    </row>
    <row r="50" spans="1:18" ht="108.95" customHeight="1">
      <c r="A50" s="178" t="s">
        <v>46</v>
      </c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80"/>
    </row>
    <row r="51" spans="1:18" ht="17.25" customHeight="1">
      <c r="A51" s="19"/>
      <c r="B51" s="20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3"/>
    </row>
    <row r="52" spans="1:18" ht="17.25" customHeight="1">
      <c r="A52" s="19"/>
      <c r="B52" s="20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3"/>
    </row>
    <row r="53" spans="1:18"/>
    <row r="54" spans="1:18" ht="24.95" hidden="1" customHeight="1">
      <c r="A54" s="27"/>
    </row>
    <row r="55" spans="1:18" ht="24.95" hidden="1" customHeight="1">
      <c r="A55" s="28"/>
    </row>
    <row r="56" spans="1:18">
      <c r="A56" s="28"/>
    </row>
    <row r="57" spans="1:18"/>
    <row r="58" spans="1:18"/>
    <row r="59" spans="1:18"/>
    <row r="60" spans="1:18"/>
    <row r="61" spans="1:18"/>
    <row r="62" spans="1:18"/>
    <row r="63" spans="1:18"/>
    <row r="64" spans="1:18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</sheetData>
  <mergeCells count="25">
    <mergeCell ref="B16:E16"/>
    <mergeCell ref="F14:I14"/>
    <mergeCell ref="F48:I48"/>
    <mergeCell ref="N14:R14"/>
    <mergeCell ref="A50:R50"/>
    <mergeCell ref="N40:R40"/>
    <mergeCell ref="F24:I24"/>
    <mergeCell ref="F30:I30"/>
    <mergeCell ref="F38:I38"/>
    <mergeCell ref="F46:I46"/>
    <mergeCell ref="B42:E42"/>
    <mergeCell ref="F6:I6"/>
    <mergeCell ref="J6:M6"/>
    <mergeCell ref="N6:R6"/>
    <mergeCell ref="F7:G7"/>
    <mergeCell ref="L7:M7"/>
    <mergeCell ref="N7:O7"/>
    <mergeCell ref="H7:I7"/>
    <mergeCell ref="J7:K7"/>
    <mergeCell ref="P7:Q7"/>
    <mergeCell ref="A1:R1"/>
    <mergeCell ref="A2:R2"/>
    <mergeCell ref="A3:R3"/>
    <mergeCell ref="B5:E5"/>
    <mergeCell ref="F5:R5"/>
  </mergeCells>
  <printOptions horizontalCentered="1"/>
  <pageMargins left="0.7" right="0.7" top="0.75" bottom="0.75" header="0.3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C652-4D53-414E-BD6B-75D43CA8C5D8}">
  <sheetPr>
    <tabColor rgb="FFCC0099"/>
    <pageSetUpPr fitToPage="1"/>
  </sheetPr>
  <dimension ref="A1:W43"/>
  <sheetViews>
    <sheetView zoomScale="60" zoomScaleNormal="60" zoomScaleSheetLayoutView="40" workbookViewId="0">
      <pane xSplit="1" ySplit="6" topLeftCell="B7" activePane="bottomRight" state="frozen"/>
      <selection pane="bottomRight" activeCell="D16" sqref="D16"/>
      <selection pane="bottomLeft" activeCell="A11" sqref="A11"/>
      <selection pane="topRight" activeCell="C1" sqref="C1"/>
    </sheetView>
  </sheetViews>
  <sheetFormatPr defaultColWidth="0" defaultRowHeight="0" customHeight="1" zeroHeight="1"/>
  <cols>
    <col min="1" max="1" width="43.42578125" style="1" customWidth="1"/>
    <col min="2" max="2" width="19.42578125" style="26" customWidth="1"/>
    <col min="3" max="5" width="18.42578125" style="24" customWidth="1"/>
    <col min="6" max="6" width="23.42578125" style="24" customWidth="1"/>
    <col min="7" max="7" width="13.42578125" style="1" hidden="1" customWidth="1"/>
    <col min="8" max="10" width="10.42578125" style="1" hidden="1" customWidth="1"/>
    <col min="11" max="14" width="0" style="1" hidden="1" customWidth="1"/>
    <col min="15" max="15" width="13.42578125" style="1" hidden="1" customWidth="1"/>
    <col min="16" max="18" width="10.42578125" style="1" hidden="1" customWidth="1"/>
    <col min="19" max="19" width="0" style="1" hidden="1" customWidth="1"/>
    <col min="20" max="20" width="13.42578125" style="1" hidden="1" customWidth="1"/>
    <col min="21" max="23" width="10.42578125" style="1" hidden="1" customWidth="1"/>
    <col min="24" max="16384" width="8" style="1" hidden="1"/>
  </cols>
  <sheetData>
    <row r="1" spans="1:7" ht="24.95">
      <c r="A1" s="189" t="s">
        <v>47</v>
      </c>
      <c r="B1" s="189"/>
      <c r="C1" s="189"/>
      <c r="D1" s="189"/>
      <c r="E1" s="189"/>
      <c r="F1" s="189"/>
    </row>
    <row r="2" spans="1:7" ht="19.5">
      <c r="A2" s="152" t="s">
        <v>48</v>
      </c>
      <c r="B2" s="152"/>
      <c r="C2" s="152"/>
      <c r="D2" s="152"/>
      <c r="E2" s="152"/>
      <c r="F2" s="152"/>
    </row>
    <row r="3" spans="1:7" ht="19.5">
      <c r="A3" s="153" t="s">
        <v>49</v>
      </c>
      <c r="B3" s="153"/>
      <c r="C3" s="153"/>
      <c r="D3" s="153"/>
      <c r="E3" s="153"/>
      <c r="F3" s="153"/>
    </row>
    <row r="4" spans="1:7" ht="20.100000000000001" thickBot="1">
      <c r="A4" s="2"/>
      <c r="B4" s="5"/>
      <c r="C4" s="3"/>
      <c r="D4" s="3"/>
      <c r="E4" s="3"/>
      <c r="F4" s="3"/>
    </row>
    <row r="5" spans="1:7" ht="19.5">
      <c r="A5" s="29" t="s">
        <v>50</v>
      </c>
      <c r="B5" s="190" t="s">
        <v>51</v>
      </c>
      <c r="C5" s="191"/>
      <c r="D5" s="191"/>
      <c r="E5" s="191"/>
      <c r="F5" s="191"/>
      <c r="G5" s="192"/>
    </row>
    <row r="6" spans="1:7" s="6" customFormat="1" ht="24.95" customHeight="1" thickBot="1">
      <c r="A6" s="30"/>
      <c r="B6" s="193" t="s">
        <v>13</v>
      </c>
      <c r="C6" s="194"/>
      <c r="D6" s="193" t="s">
        <v>14</v>
      </c>
      <c r="E6" s="195"/>
      <c r="F6" s="31" t="s">
        <v>17</v>
      </c>
      <c r="G6" s="32" t="s">
        <v>17</v>
      </c>
    </row>
    <row r="7" spans="1:7" ht="24.95" customHeight="1">
      <c r="A7" s="33" t="s">
        <v>52</v>
      </c>
      <c r="B7" s="34"/>
      <c r="C7" s="35">
        <v>45312</v>
      </c>
      <c r="D7" s="36"/>
      <c r="E7" s="35">
        <v>45346</v>
      </c>
      <c r="F7" s="37">
        <v>35</v>
      </c>
      <c r="G7" s="38">
        <f>F7-C7+1</f>
        <v>-45276</v>
      </c>
    </row>
    <row r="8" spans="1:7" ht="24.95" customHeight="1">
      <c r="A8" s="39"/>
      <c r="B8" s="40"/>
      <c r="C8" s="41"/>
      <c r="D8" s="42"/>
      <c r="E8" s="41"/>
      <c r="F8" s="43"/>
      <c r="G8" s="44"/>
    </row>
    <row r="9" spans="1:7" ht="24.95" customHeight="1">
      <c r="A9" s="45" t="s">
        <v>53</v>
      </c>
      <c r="B9" s="46"/>
      <c r="C9" s="47">
        <v>45347</v>
      </c>
      <c r="D9" s="48"/>
      <c r="E9" s="47">
        <v>45361</v>
      </c>
      <c r="F9" s="49">
        <v>14</v>
      </c>
      <c r="G9" s="50">
        <f>F9-C9+1</f>
        <v>-45332</v>
      </c>
    </row>
    <row r="10" spans="1:7" s="11" customFormat="1" ht="26.25" customHeight="1">
      <c r="A10" s="39"/>
      <c r="B10" s="40"/>
      <c r="C10" s="41"/>
      <c r="D10" s="42"/>
      <c r="E10" s="41"/>
      <c r="F10" s="43"/>
      <c r="G10" s="44"/>
    </row>
    <row r="11" spans="1:7" s="12" customFormat="1" ht="24.95" customHeight="1">
      <c r="A11" s="45" t="s">
        <v>54</v>
      </c>
      <c r="B11" s="46"/>
      <c r="C11" s="47">
        <v>45362</v>
      </c>
      <c r="D11" s="48"/>
      <c r="E11" s="47">
        <v>45382</v>
      </c>
      <c r="F11" s="49">
        <v>21</v>
      </c>
      <c r="G11" s="50">
        <f>F11-C11+1</f>
        <v>-45340</v>
      </c>
    </row>
    <row r="12" spans="1:7" ht="24.95" customHeight="1">
      <c r="A12" s="39"/>
      <c r="B12" s="40"/>
      <c r="C12" s="41"/>
      <c r="D12" s="42"/>
      <c r="E12" s="41"/>
      <c r="F12" s="43"/>
      <c r="G12" s="44"/>
    </row>
    <row r="13" spans="1:7" ht="24.95" customHeight="1">
      <c r="A13" s="45" t="s">
        <v>55</v>
      </c>
      <c r="B13" s="46"/>
      <c r="C13" s="47">
        <v>45383</v>
      </c>
      <c r="D13" s="48"/>
      <c r="E13" s="47">
        <v>45424</v>
      </c>
      <c r="F13" s="49">
        <v>42</v>
      </c>
      <c r="G13" s="50">
        <f>F13-C13+1</f>
        <v>-45340</v>
      </c>
    </row>
    <row r="14" spans="1:7" ht="24.95" customHeight="1">
      <c r="A14" s="39"/>
      <c r="B14" s="40"/>
      <c r="C14" s="41"/>
      <c r="D14" s="42"/>
      <c r="E14" s="41"/>
      <c r="F14" s="43"/>
      <c r="G14" s="44"/>
    </row>
    <row r="15" spans="1:7" ht="24.95" customHeight="1">
      <c r="A15" s="45" t="s">
        <v>56</v>
      </c>
      <c r="B15" s="46"/>
      <c r="C15" s="47">
        <v>45425</v>
      </c>
      <c r="D15" s="48"/>
      <c r="E15" s="47">
        <v>45452</v>
      </c>
      <c r="F15" s="49">
        <v>28</v>
      </c>
      <c r="G15" s="50">
        <f>F15-C15+1</f>
        <v>-45396</v>
      </c>
    </row>
    <row r="16" spans="1:7" ht="24.95" customHeight="1">
      <c r="A16" s="39"/>
      <c r="B16" s="51"/>
      <c r="C16" s="41"/>
      <c r="D16" s="41"/>
      <c r="E16" s="41"/>
      <c r="F16" s="43"/>
      <c r="G16" s="44"/>
    </row>
    <row r="17" spans="1:7" s="12" customFormat="1" ht="24.95" customHeight="1">
      <c r="A17" s="45" t="s">
        <v>57</v>
      </c>
      <c r="B17" s="46"/>
      <c r="C17" s="47">
        <v>45453</v>
      </c>
      <c r="D17" s="48"/>
      <c r="E17" s="47">
        <v>45473</v>
      </c>
      <c r="F17" s="49">
        <v>21</v>
      </c>
      <c r="G17" s="50">
        <f>F17-C17+1</f>
        <v>-45431</v>
      </c>
    </row>
    <row r="18" spans="1:7" ht="24.95" customHeight="1">
      <c r="A18" s="39"/>
      <c r="B18" s="51"/>
      <c r="C18" s="41"/>
      <c r="D18" s="41"/>
      <c r="E18" s="41"/>
      <c r="F18" s="52"/>
      <c r="G18" s="53"/>
    </row>
    <row r="19" spans="1:7" s="12" customFormat="1" ht="24.95" customHeight="1">
      <c r="A19" s="45" t="s">
        <v>58</v>
      </c>
      <c r="B19" s="54"/>
      <c r="C19" s="15">
        <v>45474</v>
      </c>
      <c r="D19" s="48"/>
      <c r="E19" s="15">
        <v>45515</v>
      </c>
      <c r="F19" s="55">
        <v>42</v>
      </c>
      <c r="G19" s="56">
        <f>F19-C19+1</f>
        <v>-45431</v>
      </c>
    </row>
    <row r="20" spans="1:7" ht="24.95" customHeight="1">
      <c r="A20" s="57"/>
      <c r="B20" s="58"/>
      <c r="C20" s="59"/>
      <c r="D20" s="60"/>
      <c r="E20" s="59"/>
      <c r="F20" s="61"/>
      <c r="G20" s="62"/>
    </row>
    <row r="21" spans="1:7" s="12" customFormat="1" ht="24.95" customHeight="1">
      <c r="A21" s="45" t="s">
        <v>59</v>
      </c>
      <c r="B21" s="54"/>
      <c r="C21" s="15">
        <v>45516</v>
      </c>
      <c r="D21" s="63"/>
      <c r="E21" s="15">
        <v>45536</v>
      </c>
      <c r="F21" s="55">
        <v>21</v>
      </c>
      <c r="G21" s="56">
        <f>F21-C21+1</f>
        <v>-45494</v>
      </c>
    </row>
    <row r="22" spans="1:7" s="11" customFormat="1" ht="24.95" customHeight="1">
      <c r="A22" s="39"/>
      <c r="B22" s="51"/>
      <c r="C22" s="41"/>
      <c r="D22" s="41"/>
      <c r="E22" s="41"/>
      <c r="F22" s="52"/>
      <c r="G22" s="53"/>
    </row>
    <row r="23" spans="1:7" ht="24.95" customHeight="1">
      <c r="A23" s="45" t="s">
        <v>60</v>
      </c>
      <c r="B23" s="54"/>
      <c r="C23" s="47">
        <v>45537</v>
      </c>
      <c r="D23" s="48"/>
      <c r="E23" s="47">
        <v>45585</v>
      </c>
      <c r="F23" s="55">
        <v>49</v>
      </c>
      <c r="G23" s="56">
        <f>F23-C23+1</f>
        <v>-45487</v>
      </c>
    </row>
    <row r="24" spans="1:7" s="11" customFormat="1" ht="24.95" customHeight="1">
      <c r="A24" s="39"/>
      <c r="B24" s="51"/>
      <c r="C24" s="41"/>
      <c r="D24" s="41"/>
      <c r="E24" s="41"/>
      <c r="F24" s="52"/>
      <c r="G24" s="53"/>
    </row>
    <row r="25" spans="1:7" ht="24.95" customHeight="1">
      <c r="A25" s="45" t="s">
        <v>61</v>
      </c>
      <c r="B25" s="46"/>
      <c r="C25" s="47">
        <v>45586</v>
      </c>
      <c r="D25" s="48"/>
      <c r="E25" s="47">
        <v>45599</v>
      </c>
      <c r="F25" s="49">
        <v>14</v>
      </c>
      <c r="G25" s="50">
        <v>28</v>
      </c>
    </row>
    <row r="26" spans="1:7" s="11" customFormat="1" ht="24.95" customHeight="1">
      <c r="A26" s="39"/>
      <c r="B26" s="51"/>
      <c r="C26" s="41"/>
      <c r="D26" s="41"/>
      <c r="E26" s="41"/>
      <c r="F26" s="52"/>
      <c r="G26" s="53"/>
    </row>
    <row r="27" spans="1:7" s="12" customFormat="1" ht="24.95" customHeight="1">
      <c r="A27" s="45" t="s">
        <v>62</v>
      </c>
      <c r="B27" s="46"/>
      <c r="C27" s="47">
        <v>45600</v>
      </c>
      <c r="D27" s="48"/>
      <c r="E27" s="47">
        <v>45627</v>
      </c>
      <c r="F27" s="49">
        <v>28</v>
      </c>
      <c r="G27" s="50">
        <v>28</v>
      </c>
    </row>
    <row r="28" spans="1:7" ht="24.95" customHeight="1">
      <c r="A28" s="39"/>
      <c r="B28" s="40"/>
      <c r="C28" s="41"/>
      <c r="D28" s="42"/>
      <c r="E28" s="41"/>
      <c r="F28" s="43"/>
      <c r="G28" s="62"/>
    </row>
    <row r="29" spans="1:7" ht="24.95" customHeight="1">
      <c r="A29" s="45" t="s">
        <v>63</v>
      </c>
      <c r="B29" s="46"/>
      <c r="C29" s="47">
        <v>45628</v>
      </c>
      <c r="D29" s="48"/>
      <c r="E29" s="47">
        <v>45655</v>
      </c>
      <c r="F29" s="49">
        <v>28</v>
      </c>
      <c r="G29" s="64">
        <v>28</v>
      </c>
    </row>
    <row r="30" spans="1:7" s="11" customFormat="1" ht="24.95" customHeight="1">
      <c r="A30" s="39"/>
      <c r="B30" s="40"/>
      <c r="C30" s="41"/>
      <c r="D30" s="42"/>
      <c r="E30" s="41"/>
      <c r="F30" s="43"/>
      <c r="G30" s="44"/>
    </row>
    <row r="31" spans="1:7" s="2" customFormat="1" ht="24.95" customHeight="1">
      <c r="A31" s="45"/>
      <c r="B31" s="46"/>
      <c r="C31" s="47"/>
      <c r="D31" s="48"/>
      <c r="E31" s="47"/>
      <c r="F31" s="49"/>
      <c r="G31" s="64">
        <v>28</v>
      </c>
    </row>
    <row r="32" spans="1:7" s="11" customFormat="1" ht="24.95" customHeight="1">
      <c r="A32" s="65"/>
      <c r="B32" s="66"/>
      <c r="C32" s="67"/>
      <c r="D32" s="68"/>
      <c r="E32" s="67"/>
      <c r="F32" s="69"/>
      <c r="G32" s="70"/>
    </row>
    <row r="33" spans="1:7" s="12" customFormat="1" ht="24.95" customHeight="1">
      <c r="A33" s="45"/>
      <c r="B33" s="46"/>
      <c r="C33" s="47"/>
      <c r="D33" s="48"/>
      <c r="E33" s="47"/>
      <c r="F33" s="49"/>
      <c r="G33" s="64">
        <v>28</v>
      </c>
    </row>
    <row r="34" spans="1:7" s="11" customFormat="1" ht="24.95" customHeight="1" thickBot="1">
      <c r="A34" s="71"/>
      <c r="B34" s="72"/>
      <c r="C34" s="73"/>
      <c r="D34" s="73"/>
      <c r="E34" s="73"/>
      <c r="F34" s="74"/>
      <c r="G34" s="75"/>
    </row>
    <row r="35" spans="1:7" ht="24.95" customHeight="1">
      <c r="A35" s="7"/>
      <c r="B35" s="46"/>
      <c r="C35" s="47"/>
      <c r="D35" s="48"/>
      <c r="E35" s="47"/>
      <c r="F35" s="49"/>
      <c r="G35" s="64">
        <v>28</v>
      </c>
    </row>
    <row r="36" spans="1:7" ht="20.100000000000001" thickBot="1">
      <c r="A36" s="16"/>
      <c r="B36" s="76"/>
      <c r="C36" s="17"/>
      <c r="D36" s="17"/>
      <c r="E36" s="17"/>
      <c r="F36" s="18"/>
      <c r="G36" s="77"/>
    </row>
    <row r="37" spans="1:7" ht="119.25" customHeight="1">
      <c r="A37" s="187" t="s">
        <v>64</v>
      </c>
      <c r="B37" s="188"/>
      <c r="C37" s="188"/>
      <c r="D37" s="188"/>
      <c r="E37" s="188"/>
      <c r="F37" s="188"/>
    </row>
    <row r="38" spans="1:7" ht="17.25" customHeight="1">
      <c r="A38" s="19"/>
      <c r="B38" s="22"/>
      <c r="C38" s="22"/>
      <c r="D38" s="22"/>
      <c r="E38" s="22"/>
      <c r="F38" s="22"/>
    </row>
    <row r="39" spans="1:7" ht="17.25" customHeight="1">
      <c r="A39" s="19"/>
      <c r="B39" s="22"/>
      <c r="C39" s="22"/>
      <c r="D39" s="22"/>
      <c r="E39" s="22"/>
      <c r="F39" s="22"/>
    </row>
    <row r="41" spans="1:7" ht="24.95" hidden="1" customHeight="1">
      <c r="A41" s="27"/>
    </row>
    <row r="42" spans="1:7" ht="24.95" hidden="1" customHeight="1">
      <c r="A42" s="28"/>
    </row>
    <row r="43" spans="1:7" ht="19.5" hidden="1">
      <c r="A43" s="28"/>
    </row>
  </sheetData>
  <mergeCells count="7">
    <mergeCell ref="A37:F37"/>
    <mergeCell ref="A1:F1"/>
    <mergeCell ref="A2:F2"/>
    <mergeCell ref="A3:F3"/>
    <mergeCell ref="B5:G5"/>
    <mergeCell ref="B6:C6"/>
    <mergeCell ref="D6:E6"/>
  </mergeCells>
  <printOptions horizontalCentered="1"/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0EBBD0244F6448A8F72B0BA9EFCBA" ma:contentTypeVersion="17" ma:contentTypeDescription="Create a new document." ma:contentTypeScope="" ma:versionID="7a6d0aa5b05036800bc4156495b41e94">
  <xsd:schema xmlns:xsd="http://www.w3.org/2001/XMLSchema" xmlns:xs="http://www.w3.org/2001/XMLSchema" xmlns:p="http://schemas.microsoft.com/office/2006/metadata/properties" xmlns:ns3="20b481c0-ad9c-49d7-89ae-ec311908e43a" xmlns:ns4="536a7100-b2fc-4853-8df8-858d54a3469d" targetNamespace="http://schemas.microsoft.com/office/2006/metadata/properties" ma:root="true" ma:fieldsID="e14fdf9c2386ff913143976f030c1dc2" ns3:_="" ns4:_="">
    <xsd:import namespace="20b481c0-ad9c-49d7-89ae-ec311908e43a"/>
    <xsd:import namespace="536a7100-b2fc-4853-8df8-858d54a3469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481c0-ad9c-49d7-89ae-ec311908e4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a7100-b2fc-4853-8df8-858d54a34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6a7100-b2fc-4853-8df8-858d54a3469d" xsi:nil="true"/>
  </documentManagement>
</p:properties>
</file>

<file path=customXml/itemProps1.xml><?xml version="1.0" encoding="utf-8"?>
<ds:datastoreItem xmlns:ds="http://schemas.openxmlformats.org/officeDocument/2006/customXml" ds:itemID="{8F2B47CB-EFDA-44F4-9981-5DF7A56CFEEC}"/>
</file>

<file path=customXml/itemProps2.xml><?xml version="1.0" encoding="utf-8"?>
<ds:datastoreItem xmlns:ds="http://schemas.openxmlformats.org/officeDocument/2006/customXml" ds:itemID="{A69D48CD-FF46-4FFA-A533-77FAD273ECBF}"/>
</file>

<file path=customXml/itemProps3.xml><?xml version="1.0" encoding="utf-8"?>
<ds:datastoreItem xmlns:ds="http://schemas.openxmlformats.org/officeDocument/2006/customXml" ds:itemID="{9472B49E-D4F0-4C5F-823F-00D1DE37D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McDonald's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Krinsky Jamie</dc:creator>
  <cp:keywords/>
  <dc:description/>
  <cp:lastModifiedBy/>
  <cp:revision/>
  <dcterms:created xsi:type="dcterms:W3CDTF">2018-08-12T15:57:50Z</dcterms:created>
  <dcterms:modified xsi:type="dcterms:W3CDTF">2026-08-02T22:15:52Z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0x0101000140EBBD0244F6448A8F72B0BA9EFCBA</vt:lpwstr>
  </property>
  <property fmtid="{D5CDD505-2E9C-101B-9397-08002B2CF9AE}" pid="3" name="_dlc_DocIdItemGuid">
    <vt:lpwstr>5d470742-9be9-4c67-a8ac-11096a58863c</vt:lpwstr>
  </property>
</Properties>
</file>