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06"/>
  <workbookPr/>
  <mc:AlternateContent xmlns:mc="http://schemas.openxmlformats.org/markup-compatibility/2006">
    <mc:Choice Requires="x15">
      <x15ac:absPath xmlns:x15ac="http://schemas.microsoft.com/office/spreadsheetml/2010/11/ac" url="C:\Users\mc77561\Downloads\"/>
    </mc:Choice>
  </mc:AlternateContent>
  <xr:revisionPtr revIDLastSave="0" documentId="8_{2FCAAC4D-B256-433A-A14B-E54F2BC25848}" xr6:coauthVersionLast="47" xr6:coauthVersionMax="47" xr10:uidLastSave="{00000000-0000-0000-0000-000000000000}"/>
  <bookViews>
    <workbookView xWindow="-110" yWindow="-110" windowWidth="19420" windowHeight="11500" tabRatio="799" firstSheet="2" activeTab="2" xr2:uid="{00000000-000D-0000-FFFF-FFFF00000000}"/>
  </bookViews>
  <sheets>
    <sheet name="SystemLaunchProcess-DESCRIPTION" sheetId="12" r:id="rId1"/>
    <sheet name="2026 OPNAD Mtkg StartStop" sheetId="7" state="hidden" r:id="rId2"/>
    <sheet name="2026 OPNAD Calendar StartStop" sheetId="15" r:id="rId3"/>
    <sheet name="2026 Happy Meal StartStop" sheetId="13" r:id="rId4"/>
    <sheet name="2026 Local Pantry StartStop" sheetId="14" r:id="rId5"/>
    <sheet name="2025 Happy Meal StartStop" sheetId="11" state="hidden" r:id="rId6"/>
  </sheets>
  <definedNames>
    <definedName name="AACM" localSheetId="5">#REF!</definedName>
    <definedName name="AACM" localSheetId="3">#REF!</definedName>
    <definedName name="AACM">#REF!</definedName>
    <definedName name="BFX_BRANDFX">60122</definedName>
    <definedName name="_xlnm.Print_Area" localSheetId="5">'2025 Happy Meal StartStop'!$A$1:$F$39</definedName>
    <definedName name="_xlnm.Print_Area" localSheetId="3">'2026 Happy Meal StartStop'!$A$1:$F$39</definedName>
    <definedName name="_xlnm.Print_Area" localSheetId="4">'2026 Local Pantry StartStop'!$A$1:$T$21</definedName>
    <definedName name="_xlnm.Print_Area" localSheetId="1">'2026 OPNAD Mtkg StartStop'!$A$1:$R$49</definedName>
    <definedName name="_xlnm.Print_Area">#REF!</definedName>
    <definedName name="RPT_BRANDF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3" i="15" l="1"/>
  <c r="M41" i="15"/>
  <c r="M47" i="15"/>
  <c r="M45" i="15"/>
  <c r="M39" i="15"/>
  <c r="M37" i="15"/>
  <c r="M35" i="15"/>
  <c r="M31" i="15"/>
  <c r="M27" i="15"/>
  <c r="M19" i="15"/>
  <c r="M17" i="15"/>
  <c r="M15" i="15"/>
  <c r="M13" i="15"/>
  <c r="M9" i="15"/>
  <c r="M7" i="15"/>
  <c r="M5" i="15"/>
  <c r="L42" i="7"/>
  <c r="J42" i="7"/>
  <c r="L33" i="7"/>
  <c r="J33" i="7"/>
  <c r="L22" i="7"/>
  <c r="J22" i="7"/>
  <c r="L31" i="7"/>
  <c r="J31" i="7"/>
  <c r="R27" i="7"/>
  <c r="P27" i="7"/>
  <c r="N27" i="7"/>
  <c r="R46" i="7"/>
  <c r="P46" i="7"/>
  <c r="N46" i="7"/>
  <c r="F31" i="13"/>
  <c r="L14" i="7" l="1"/>
  <c r="J14" i="7"/>
  <c r="N38" i="7"/>
  <c r="F29" i="13" l="1"/>
  <c r="F27" i="13"/>
  <c r="F25" i="13"/>
  <c r="F23" i="13"/>
  <c r="G23" i="13" s="1"/>
  <c r="F21" i="13"/>
  <c r="G21" i="13" s="1"/>
  <c r="F19" i="13"/>
  <c r="G19" i="13" s="1"/>
  <c r="F17" i="13"/>
  <c r="G17" i="13" s="1"/>
  <c r="F15" i="13"/>
  <c r="G15" i="13" s="1"/>
  <c r="F13" i="13"/>
  <c r="G13" i="13" s="1"/>
  <c r="F11" i="13"/>
  <c r="F9" i="13"/>
  <c r="G9" i="13" s="1"/>
  <c r="F7" i="13"/>
  <c r="G7" i="13" s="1"/>
  <c r="N8" i="7"/>
  <c r="G11" i="13"/>
  <c r="R24" i="7"/>
  <c r="P24" i="7"/>
  <c r="N24" i="7"/>
  <c r="N20" i="7"/>
  <c r="R44" i="7" l="1"/>
  <c r="P44" i="7"/>
  <c r="N44" i="7"/>
  <c r="P42" i="7"/>
  <c r="P40" i="7"/>
  <c r="P33" i="7"/>
  <c r="P29" i="7"/>
  <c r="P38" i="7"/>
  <c r="P35" i="7"/>
  <c r="P22" i="7"/>
  <c r="P20" i="7"/>
  <c r="P18" i="7"/>
  <c r="P16" i="7"/>
  <c r="P12" i="7"/>
  <c r="P10" i="7"/>
  <c r="P8" i="7"/>
  <c r="N42" i="7"/>
  <c r="N40" i="7"/>
  <c r="N33" i="7"/>
  <c r="N29" i="7"/>
  <c r="N35" i="7"/>
  <c r="N22" i="7"/>
  <c r="N18" i="7"/>
  <c r="N16" i="7"/>
  <c r="N12" i="7"/>
  <c r="N10" i="7"/>
  <c r="R8" i="7"/>
  <c r="R12" i="7"/>
  <c r="R16" i="7"/>
  <c r="R18" i="7"/>
  <c r="R20" i="7"/>
  <c r="R22" i="7"/>
  <c r="R35" i="7"/>
  <c r="R38" i="7"/>
  <c r="R29" i="7"/>
  <c r="R33" i="7"/>
  <c r="R40" i="7"/>
  <c r="R42" i="7"/>
  <c r="R10" i="7"/>
  <c r="G23" i="11"/>
  <c r="G21" i="11"/>
  <c r="G19" i="11"/>
  <c r="G17" i="11"/>
  <c r="G15" i="11"/>
  <c r="G13" i="11"/>
  <c r="G11" i="11"/>
  <c r="G9" i="11"/>
  <c r="G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tc={1CF92567-D080-2E45-89A8-E5CAEED7D323}</author>
    <author>tc={91207844-7CED-44A9-9757-194BE47E1E59}</author>
  </authors>
  <commentList>
    <comment ref="B22" authorId="0" shapeId="0" xr:uid="{1CF92567-D080-2E45-89A8-E5CAEED7D323}">
      <text>
        <t>[Threaded comment]
Your version of Excel allows you to read this threaded comment; however, any edits to it will get removed if the file is opened in a newer version of Excel. Learn more: https://go.microsoft.com/fwlink/?linkid=870924
Comment:
    @Jaklic, Lauren (US) - soft sell is w/o 4/27.. i moved up one day .. idk if it truly matters, but the 27th is the mondya.. it had 28th listed which is a tuesday for soft sell. i know it's a rolling soft sell</t>
      </text>
    </comment>
    <comment ref="E44" authorId="1" shapeId="0" xr:uid="{91207844-7CED-44A9-9757-194BE47E1E59}">
      <text>
        <t>[Threaded comment]
Your version of Excel allows you to read this threaded comment; however, any edits to it will get removed if the file is opened in a newer version of Excel. Learn more: https://go.microsoft.com/fwlink/?linkid=870924
Comment:
    Will need to update this based on contract end date</t>
      </text>
    </comment>
  </commentList>
</comments>
</file>

<file path=xl/sharedStrings.xml><?xml version="1.0" encoding="utf-8"?>
<sst xmlns="http://schemas.openxmlformats.org/spreadsheetml/2006/main" count="271" uniqueCount="151">
  <si>
    <t>2026 OPNAD Marketing Calendar</t>
  </si>
  <si>
    <t>Key Program and Advertising Start and Stop Dates</t>
  </si>
  <si>
    <t>WIP REV 3</t>
  </si>
  <si>
    <t>Retail / In-Store</t>
  </si>
  <si>
    <t xml:space="preserve">Advertising </t>
  </si>
  <si>
    <t>Program</t>
  </si>
  <si>
    <t>Soft Sell
(week of)</t>
  </si>
  <si>
    <t>Retail
Start Date / All-store selling</t>
  </si>
  <si>
    <t>Retail
End Date</t>
  </si>
  <si>
    <t>Product Phase Out Dates</t>
  </si>
  <si>
    <r>
      <t xml:space="preserve">Pre-Buzz
</t>
    </r>
    <r>
      <rPr>
        <sz val="14"/>
        <rFont val="Speedee"/>
        <family val="2"/>
      </rPr>
      <t>(Paid or Owned)</t>
    </r>
  </si>
  <si>
    <r>
      <t>Owned Media-</t>
    </r>
    <r>
      <rPr>
        <b/>
        <i/>
        <sz val="14"/>
        <rFont val="Speedee"/>
        <family val="2"/>
      </rPr>
      <t>only</t>
    </r>
    <r>
      <rPr>
        <b/>
        <sz val="14"/>
        <rFont val="Speedee"/>
        <family val="2"/>
      </rPr>
      <t xml:space="preserve"> </t>
    </r>
  </si>
  <si>
    <t>Paid Media</t>
  </si>
  <si>
    <t>Start</t>
  </si>
  <si>
    <t>Stop</t>
  </si>
  <si>
    <t>Adv Start</t>
  </si>
  <si>
    <t>Adv Stop</t>
  </si>
  <si>
    <t>#Days</t>
  </si>
  <si>
    <t>McValue: $5 Brk Meal &amp; $8 ROD Meal</t>
  </si>
  <si>
    <t>n/a</t>
  </si>
  <si>
    <t>Core Hot Honey (Dual-Daypart)</t>
  </si>
  <si>
    <t>3/2 - 3/29</t>
  </si>
  <si>
    <t>McValue: $5 Meal Deal &amp; BOAO</t>
  </si>
  <si>
    <t>Shamrock</t>
  </si>
  <si>
    <t>3/23-4/19</t>
  </si>
  <si>
    <t>Big Arch</t>
  </si>
  <si>
    <t>5/18 - 6/14</t>
  </si>
  <si>
    <t>Brand Relevance (Dual-Daypart)</t>
  </si>
  <si>
    <t>4/27-5/24</t>
  </si>
  <si>
    <t>McValue 2.0 Launch</t>
  </si>
  <si>
    <t>Beverage Launch</t>
  </si>
  <si>
    <t>7/20-8/16</t>
  </si>
  <si>
    <t>McValue 2.0 Rehit</t>
  </si>
  <si>
    <t>Core Chicken (Caesar)</t>
  </si>
  <si>
    <t>8/24-9/20</t>
  </si>
  <si>
    <t>BTL Breakfast Flavor news</t>
  </si>
  <si>
    <t>Beverage Rehit w/ News</t>
  </si>
  <si>
    <t>TBD 9/27</t>
  </si>
  <si>
    <t>TBD 9/28 - 10/25</t>
  </si>
  <si>
    <t>Monopoly</t>
  </si>
  <si>
    <t>Core Breakfast News</t>
  </si>
  <si>
    <t>11/23-12/20</t>
  </si>
  <si>
    <t>TBD 12/27</t>
  </si>
  <si>
    <t>TBD 12/28 - 1/24</t>
  </si>
  <si>
    <t>12/28 - 1/24</t>
  </si>
  <si>
    <t>McValue</t>
  </si>
  <si>
    <r>
      <rPr>
        <b/>
        <sz val="14"/>
        <color rgb="FF000000"/>
        <rFont val="Speedee"/>
        <family val="2"/>
      </rPr>
      <t xml:space="preserve">Notes:
</t>
    </r>
    <r>
      <rPr>
        <sz val="14"/>
        <color rgb="FF000000"/>
        <rFont val="Speedee"/>
        <family val="2"/>
      </rPr>
      <t>Programs and dates are based on approved 2026 Marketing Calendar and subject to change.
McDonald's will align on Tuesday/ Wednesday All Store start guidance as needed for each campaign as calendar develops.
Soft sell range of about ~10 days prior to launch on a Tuesday. Product Phase out dates supply ensured until last day of promotion, estimated at 4 weeks post end date.</t>
    </r>
  </si>
  <si>
    <t>2026 OPNAD Marketing Program Start/Stop Dates: REV5</t>
  </si>
  <si>
    <t>Point of Order</t>
  </si>
  <si>
    <t>Advertising</t>
  </si>
  <si>
    <r>
      <t xml:space="preserve">Menu Components </t>
    </r>
    <r>
      <rPr>
        <i/>
        <sz val="11"/>
        <rFont val="Speedee"/>
        <family val="2"/>
      </rPr>
      <t>(*=new)</t>
    </r>
  </si>
  <si>
    <t xml:space="preserve"> All-store Start</t>
  </si>
  <si>
    <t>All Store End</t>
  </si>
  <si>
    <t>Phase Out</t>
  </si>
  <si>
    <t>Owned Only</t>
  </si>
  <si>
    <t>BREAKFAST ONLY</t>
  </si>
  <si>
    <t>ROD ONLY</t>
  </si>
  <si>
    <t>ALL DAY</t>
  </si>
  <si>
    <t>START</t>
  </si>
  <si>
    <t>END</t>
  </si>
  <si>
    <r>
      <rPr>
        <b/>
        <sz val="12"/>
        <rFont val="Speedee"/>
        <family val="2"/>
      </rPr>
      <t>ALC</t>
    </r>
    <r>
      <rPr>
        <sz val="12"/>
        <rFont val="Speedee"/>
        <family val="2"/>
      </rPr>
      <t>: Hot Honey Sausage Egg Biscuit*</t>
    </r>
  </si>
  <si>
    <r>
      <t xml:space="preserve">
</t>
    </r>
    <r>
      <rPr>
        <b/>
        <sz val="12"/>
        <rFont val="Speedee"/>
        <family val="2"/>
      </rPr>
      <t>ALC</t>
    </r>
    <r>
      <rPr>
        <sz val="12"/>
        <rFont val="Speedee"/>
        <family val="2"/>
      </rPr>
      <t>: Hot Honey McCrispy Sandwich (+ bacon),​ Hot Honey Snack Wrap; Hot Honey Dip Cup (with strips and McNuggets)</t>
    </r>
  </si>
  <si>
    <t xml:space="preserve"> - </t>
  </si>
  <si>
    <t>Shamrock LTO</t>
  </si>
  <si>
    <r>
      <rPr>
        <b/>
        <sz val="12"/>
        <rFont val="Speedee"/>
        <family val="2"/>
      </rPr>
      <t>ALC</t>
    </r>
    <r>
      <rPr>
        <sz val="12"/>
        <rFont val="Speedee"/>
        <family val="2"/>
      </rPr>
      <t>: Shamrock Shake*; Oreo Shamrock McFlurry*</t>
    </r>
  </si>
  <si>
    <t>x</t>
  </si>
  <si>
    <r>
      <rPr>
        <b/>
        <sz val="12"/>
        <rFont val="Speedee"/>
        <family val="2"/>
      </rPr>
      <t>ALC</t>
    </r>
    <r>
      <rPr>
        <sz val="12"/>
        <rFont val="Speedee"/>
        <family val="2"/>
      </rPr>
      <t>: Big Arch*</t>
    </r>
  </si>
  <si>
    <t>Brand Relevance (Dual-Daypart): KPDH</t>
  </si>
  <si>
    <r>
      <rPr>
        <b/>
        <sz val="12"/>
        <color rgb="FF000000"/>
        <rFont val="Speedee"/>
        <family val="2"/>
      </rPr>
      <t xml:space="preserve">Meal: </t>
    </r>
    <r>
      <rPr>
        <sz val="12"/>
        <color rgb="FF000000"/>
        <rFont val="Speedee"/>
        <family val="2"/>
      </rPr>
      <t>SME McMuffin w/ Spicy Sauce*, Hashbrown, CSD, collectible​*</t>
    </r>
  </si>
  <si>
    <r>
      <rPr>
        <b/>
        <sz val="12"/>
        <color rgb="FF000000"/>
        <rFont val="Speedee"/>
        <family val="2"/>
      </rPr>
      <t>Meal</t>
    </r>
    <r>
      <rPr>
        <sz val="12"/>
        <color rgb="FF000000"/>
        <rFont val="Speedee"/>
        <family val="2"/>
      </rPr>
      <t xml:space="preserve">: McNuggets + Cajun* &amp; Sweet Chili Sauce* + Ramyeon Shaker Fries* + CSD + Collectible*
</t>
    </r>
    <r>
      <rPr>
        <b/>
        <sz val="12"/>
        <color rgb="FF000000"/>
        <rFont val="Speedee"/>
        <family val="2"/>
      </rPr>
      <t>ALC</t>
    </r>
    <r>
      <rPr>
        <sz val="12"/>
        <color rgb="FF000000"/>
        <rFont val="Speedee"/>
        <family val="2"/>
      </rPr>
      <t>: Boba McFlurry*</t>
    </r>
  </si>
  <si>
    <r>
      <rPr>
        <b/>
        <sz val="12"/>
        <rFont val="Speedee"/>
        <family val="2"/>
      </rPr>
      <t>Under $3</t>
    </r>
    <r>
      <rPr>
        <sz val="12"/>
        <rFont val="Speedee"/>
        <family val="2"/>
      </rPr>
      <t xml:space="preserve">: Sausage Biscuit, Sausage McMuffin, Sausage Burrito, Hash Browns
</t>
    </r>
    <r>
      <rPr>
        <b/>
        <sz val="12"/>
        <rFont val="Speedee"/>
        <family val="2"/>
      </rPr>
      <t>Meal Deal:</t>
    </r>
    <r>
      <rPr>
        <sz val="12"/>
        <rFont val="Speedee"/>
        <family val="2"/>
      </rPr>
      <t xml:space="preserve"> $4 (choice of sausage mcmuffin or sausage biscuit + hash browns + coffee)</t>
    </r>
  </si>
  <si>
    <r>
      <rPr>
        <b/>
        <sz val="12"/>
        <rFont val="Speedee"/>
        <family val="2"/>
      </rPr>
      <t>Under $3</t>
    </r>
    <r>
      <rPr>
        <sz val="12"/>
        <rFont val="Speedee"/>
        <family val="2"/>
      </rPr>
      <t xml:space="preserve">: McChicken, McDouble, 4pc McNuggets, Sm Fries
</t>
    </r>
    <r>
      <rPr>
        <b/>
        <sz val="12"/>
        <rFont val="Speedee"/>
        <family val="2"/>
      </rPr>
      <t>Meal Deals</t>
    </r>
    <r>
      <rPr>
        <sz val="12"/>
        <rFont val="Speedee"/>
        <family val="2"/>
      </rPr>
      <t xml:space="preserve">: $5 McChicken, $6 McDouble </t>
    </r>
    <r>
      <rPr>
        <i/>
        <sz val="10"/>
        <rFont val="Speedee Light Italic"/>
      </rPr>
      <t>(price may vary in high-cost markets)</t>
    </r>
  </si>
  <si>
    <r>
      <rPr>
        <b/>
        <sz val="12"/>
        <rFont val="Speedee"/>
        <family val="2"/>
      </rPr>
      <t>Under $3</t>
    </r>
    <r>
      <rPr>
        <sz val="12"/>
        <rFont val="Speedee"/>
        <family val="2"/>
      </rPr>
      <t>: M CSD; M Coffee</t>
    </r>
  </si>
  <si>
    <r>
      <rPr>
        <b/>
        <sz val="12"/>
        <rFont val="Speedee"/>
        <family val="2"/>
      </rPr>
      <t>ALC Core</t>
    </r>
    <r>
      <rPr>
        <sz val="12"/>
        <rFont val="Speedee"/>
        <family val="2"/>
      </rPr>
      <t>: Strawberry Watermelon Refresher​; Mango Pineapple Refresher​; Blackberry Passion Fruit Refresher​; Sprite Berry Blast​; Dirty Dr Pepper​; Orange Dream</t>
    </r>
  </si>
  <si>
    <r>
      <rPr>
        <b/>
        <sz val="12"/>
        <rFont val="Speedee"/>
        <family val="2"/>
      </rPr>
      <t>Meal</t>
    </r>
    <r>
      <rPr>
        <sz val="12"/>
        <rFont val="Speedee"/>
        <family val="2"/>
      </rPr>
      <t>: SME or Sausage Egg Biscuit, Hash Brown, Small CSD, Collectible Cup​*</t>
    </r>
  </si>
  <si>
    <r>
      <rPr>
        <b/>
        <sz val="12"/>
        <rFont val="Speedee"/>
        <family val="2"/>
      </rPr>
      <t>Meal:</t>
    </r>
    <r>
      <rPr>
        <sz val="12"/>
        <rFont val="Speedee"/>
        <family val="2"/>
      </rPr>
      <t xml:space="preserve"> Big Mac or 10pc. + Big Mac Sauce Cup*, Med. Fries, Med. CSD​, Collectible Cup*</t>
    </r>
  </si>
  <si>
    <t>Fried Apple Pie LTO</t>
  </si>
  <si>
    <r>
      <rPr>
        <b/>
        <sz val="12"/>
        <rFont val="Speedee"/>
        <family val="2"/>
      </rPr>
      <t>ALC</t>
    </r>
    <r>
      <rPr>
        <sz val="12"/>
        <rFont val="Speedee"/>
        <family val="2"/>
      </rPr>
      <t>: Fried Apple Pie</t>
    </r>
  </si>
  <si>
    <t>8/10-9/6</t>
  </si>
  <si>
    <t>McValue 2.0 Rehit (copy split)</t>
  </si>
  <si>
    <r>
      <rPr>
        <b/>
        <sz val="12"/>
        <color rgb="FF000000"/>
        <rFont val="Speedee"/>
        <family val="2"/>
      </rPr>
      <t>Under 3</t>
    </r>
    <r>
      <rPr>
        <sz val="12"/>
        <color rgb="FF000000"/>
        <rFont val="Speedee"/>
        <family val="2"/>
      </rPr>
      <t>: $1.50/$2 Sausage Burrito</t>
    </r>
  </si>
  <si>
    <r>
      <rPr>
        <b/>
        <sz val="12"/>
        <rFont val="Speedee"/>
        <family val="2"/>
      </rPr>
      <t>Under 3</t>
    </r>
    <r>
      <rPr>
        <sz val="12"/>
        <rFont val="Speedee"/>
        <family val="2"/>
      </rPr>
      <t>: $1.50/$2 McChicken</t>
    </r>
  </si>
  <si>
    <t>Chicken Flavor News</t>
  </si>
  <si>
    <r>
      <rPr>
        <b/>
        <sz val="12"/>
        <rFont val="Speedee"/>
        <family val="2"/>
      </rPr>
      <t>ALC</t>
    </r>
    <r>
      <rPr>
        <sz val="12"/>
        <rFont val="Speedee"/>
        <family val="2"/>
      </rPr>
      <t>: Caesar Snack Wraps,* Caesar McCrispy,* Caesar Dip Cup* (for McNuggets and Strips)</t>
    </r>
  </si>
  <si>
    <t>Breakfast Flavor News</t>
  </si>
  <si>
    <r>
      <rPr>
        <b/>
        <sz val="12"/>
        <rFont val="Speedee"/>
        <family val="2"/>
      </rPr>
      <t>ALC</t>
    </r>
    <r>
      <rPr>
        <sz val="12"/>
        <rFont val="Speedee"/>
        <family val="2"/>
      </rPr>
      <t>: Honey Brown Butter BEC Biscuit*</t>
    </r>
  </si>
  <si>
    <r>
      <rPr>
        <b/>
        <sz val="12"/>
        <rFont val="Speedee"/>
        <family val="2"/>
      </rPr>
      <t>ALC Core</t>
    </r>
    <r>
      <rPr>
        <sz val="12"/>
        <rFont val="Speedee"/>
        <family val="2"/>
      </rPr>
      <t xml:space="preserve">: Red Bull Dragonberry Energizer* 
</t>
    </r>
    <r>
      <rPr>
        <b/>
        <sz val="12"/>
        <rFont val="Speedee"/>
        <family val="2"/>
      </rPr>
      <t>ALC LTO</t>
    </r>
    <r>
      <rPr>
        <sz val="12"/>
        <rFont val="Speedee"/>
        <family val="2"/>
      </rPr>
      <t>: Caramel Apple Pie Frappe;* Caramel Apple Pie Iced Coffee;* Caramel Apple Pie Latte*</t>
    </r>
  </si>
  <si>
    <t>9/28 - 10/25</t>
  </si>
  <si>
    <t>Spicy McNuggets LTO</t>
  </si>
  <si>
    <t>Spicy McNuggets</t>
  </si>
  <si>
    <t>10/5-11/1</t>
  </si>
  <si>
    <t>Dual Daypart EVM</t>
  </si>
  <si>
    <t>$5 Sausage McMuffin with Egg Extra Value Meal</t>
  </si>
  <si>
    <t>$8 Big Mac Extra Value Meal</t>
  </si>
  <si>
    <t>Taste &amp; Quality: $8 QPC EVM</t>
  </si>
  <si>
    <t>QPC EVM</t>
  </si>
  <si>
    <t>AM Value</t>
  </si>
  <si>
    <t>$5 Sausage McMuffin with Egg EVM</t>
  </si>
  <si>
    <r>
      <rPr>
        <b/>
        <sz val="12"/>
        <color rgb="FF000000"/>
        <rFont val="Speedee"/>
      </rPr>
      <t>ALC LTO</t>
    </r>
    <r>
      <rPr>
        <sz val="12"/>
        <color rgb="FF000000"/>
        <rFont val="Speedee"/>
      </rPr>
      <t>: Frosted Cranberry Sprite &amp; Red Bull Energizer*​; Cookie Butter Frappe*; Cookie Butter Iced Coffee*; Cookie Butter Latte*</t>
    </r>
  </si>
  <si>
    <t>Holiday Brand Relevance (Dual-Daypart)</t>
  </si>
  <si>
    <t>Meal: All EVMs</t>
  </si>
  <si>
    <r>
      <rPr>
        <b/>
        <sz val="12"/>
        <color rgb="FF000000"/>
        <rFont val="Speedee"/>
      </rPr>
      <t>Meal:</t>
    </r>
    <r>
      <rPr>
        <sz val="12"/>
        <color rgb="FF000000"/>
        <rFont val="Speedee"/>
      </rPr>
      <t xml:space="preserve"> All EVMs (with new shaker fries); new pizza dipping sauce available with McNugget and Strip EVMs
</t>
    </r>
    <r>
      <rPr>
        <b/>
        <sz val="12"/>
        <color rgb="FF000000"/>
        <rFont val="Speedee"/>
      </rPr>
      <t>ALC</t>
    </r>
    <r>
      <rPr>
        <sz val="12"/>
        <color rgb="FF000000"/>
        <rFont val="Speedee"/>
      </rPr>
      <t>: Sundae McFlurry*</t>
    </r>
  </si>
  <si>
    <t>Value</t>
  </si>
  <si>
    <t>$5 and $6 Meal Deals</t>
  </si>
  <si>
    <r>
      <rPr>
        <b/>
        <sz val="14"/>
        <color rgb="FF000000"/>
        <rFont val="Speedee"/>
        <family val="2"/>
      </rPr>
      <t xml:space="preserve">Notes:
</t>
    </r>
    <r>
      <rPr>
        <sz val="14"/>
        <color rgb="FF000000"/>
        <rFont val="Speedee"/>
        <family val="2"/>
      </rPr>
      <t xml:space="preserve">Programs and dates are based on approved 2026 Marketing Calendar and subject to change.
</t>
    </r>
  </si>
  <si>
    <t>2026 Happy Meal Calendar</t>
  </si>
  <si>
    <t>Key Program Start and Stop Dates</t>
  </si>
  <si>
    <t>10.29.2025</t>
  </si>
  <si>
    <t>Happy Meal Program Program</t>
  </si>
  <si>
    <t>Promotion Dates</t>
  </si>
  <si>
    <t>Clean Up</t>
  </si>
  <si>
    <t>Happy Meal #1</t>
  </si>
  <si>
    <t>Happy Meal #2</t>
  </si>
  <si>
    <t>Happy Meal #3</t>
  </si>
  <si>
    <t>Happy Meal #4</t>
  </si>
  <si>
    <t>Happy Meal #5</t>
  </si>
  <si>
    <t>Happy Meal #6</t>
  </si>
  <si>
    <t>Happy Meal #7</t>
  </si>
  <si>
    <t>Happy Meal #8</t>
  </si>
  <si>
    <t>Happy Meal #9</t>
  </si>
  <si>
    <t>Happy Meal #10</t>
  </si>
  <si>
    <t>Happy Meal #11</t>
  </si>
  <si>
    <r>
      <rPr>
        <b/>
        <sz val="14"/>
        <color theme="1"/>
        <rFont val="Speedee"/>
        <family val="2"/>
      </rPr>
      <t>Notes:</t>
    </r>
    <r>
      <rPr>
        <sz val="14"/>
        <color theme="1"/>
        <rFont val="Speedee"/>
        <family val="2"/>
      </rPr>
      <t xml:space="preserve">
Programs and dates are based on approved 2026 Happy Meal Calendar and subject to change.
</t>
    </r>
  </si>
  <si>
    <t>2026 Local Pantry Pull Calendar - LTOs Only</t>
  </si>
  <si>
    <t>KEY LOCAL LTO DATES</t>
  </si>
  <si>
    <t>As of 10/29/2025</t>
  </si>
  <si>
    <t xml:space="preserve">Approved Program Timeframe </t>
  </si>
  <si>
    <r>
      <t xml:space="preserve">Soft Sell </t>
    </r>
    <r>
      <rPr>
        <b/>
        <sz val="14"/>
        <rFont val="Speedee"/>
        <family val="2"/>
      </rPr>
      <t>(week of)</t>
    </r>
  </si>
  <si>
    <t>All-store Sell</t>
  </si>
  <si>
    <t>Start Date</t>
  </si>
  <si>
    <t>End Date</t>
  </si>
  <si>
    <t>Phase out</t>
  </si>
  <si>
    <t>Notes</t>
  </si>
  <si>
    <t>Similar approach as natl., ~10days prior to start date, product deliveries begin. POS keys are approved. Local agencies to prep and make assets available.</t>
  </si>
  <si>
    <t xml:space="preserve">Timeframe defined for program promotion within local calendar. Local agencies responsible for content uploads to DMBs for individual market pull. Digital channels are available to be activated on the given start date and should be removed via product outage when supply is depleted.  </t>
  </si>
  <si>
    <t>4 weeks post End Date. Retail &amp; keys deactived at the end of the 4wks.</t>
  </si>
  <si>
    <t>Strawberries &amp; Crème Pie</t>
  </si>
  <si>
    <t>6/15 - 6/25</t>
  </si>
  <si>
    <t>Double Filet O Fish</t>
  </si>
  <si>
    <t>4/6 - 5/3</t>
  </si>
  <si>
    <t>Blueberries &amp; Crème Pie</t>
  </si>
  <si>
    <t>8/17 - 8/27</t>
  </si>
  <si>
    <t>Pumpkin &amp; Crème Pie</t>
  </si>
  <si>
    <t>11/2 - 11/12</t>
  </si>
  <si>
    <t>Local McRib</t>
  </si>
  <si>
    <t>11/30 - 12/27</t>
  </si>
  <si>
    <t>Holiday pie</t>
  </si>
  <si>
    <t>12/28 - 1/7</t>
  </si>
  <si>
    <t>2025 Happy Meal Calendar</t>
  </si>
  <si>
    <t>8.28.24</t>
  </si>
  <si>
    <r>
      <rPr>
        <b/>
        <sz val="14"/>
        <color theme="1"/>
        <rFont val="Speedee"/>
        <family val="2"/>
      </rPr>
      <t>Notes:</t>
    </r>
    <r>
      <rPr>
        <sz val="14"/>
        <color theme="1"/>
        <rFont val="Speedee"/>
        <family val="2"/>
      </rPr>
      <t xml:space="preserve">
Programs and dates are based on approved 2024 Happy Meal Calendar and subject to change.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</si>
</sst>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49">
    <font>
      <sz val="11"/>
      <color theme="1"/>
      <name val="Calibri"/>
      <family val="2"/>
      <scheme val="minor"/>
    </font>
    <font>
      <sz val="10"/>
      <name val="Arial"/>
      <family val="2"/>
    </font>
    <font>
      <b/>
      <sz val="18"/>
      <color theme="0"/>
      <name val="Speedee"/>
      <family val="2"/>
    </font>
    <font>
      <sz val="14"/>
      <name val="Speedee"/>
      <family val="2"/>
    </font>
    <font>
      <b/>
      <sz val="16"/>
      <name val="Speedee"/>
      <family val="2"/>
    </font>
    <font>
      <b/>
      <sz val="14"/>
      <name val="Speedee"/>
      <family val="2"/>
    </font>
    <font>
      <sz val="14"/>
      <color theme="1"/>
      <name val="Speedee"/>
      <family val="2"/>
    </font>
    <font>
      <b/>
      <u/>
      <sz val="14"/>
      <name val="Speedee"/>
      <family val="2"/>
    </font>
    <font>
      <b/>
      <sz val="14"/>
      <color rgb="FFFFC000"/>
      <name val="Speedee"/>
      <family val="2"/>
    </font>
    <font>
      <b/>
      <sz val="14"/>
      <color theme="0"/>
      <name val="Speedee"/>
      <family val="2"/>
    </font>
    <font>
      <b/>
      <i/>
      <sz val="14"/>
      <name val="Speedee"/>
      <family val="2"/>
    </font>
    <font>
      <b/>
      <sz val="14"/>
      <color theme="1"/>
      <name val="Speedee"/>
      <family val="2"/>
    </font>
    <font>
      <i/>
      <sz val="14"/>
      <name val="Speedee"/>
      <family val="2"/>
    </font>
    <font>
      <b/>
      <sz val="14"/>
      <color rgb="FF000000"/>
      <name val="Speedee"/>
      <family val="2"/>
    </font>
    <font>
      <sz val="14"/>
      <color rgb="FF000000"/>
      <name val="Speedee"/>
      <family val="2"/>
    </font>
    <font>
      <b/>
      <sz val="14"/>
      <color rgb="FFFF0000"/>
      <name val="Speedee"/>
      <family val="2"/>
    </font>
    <font>
      <sz val="14"/>
      <color rgb="FFFF0000"/>
      <name val="Speedee"/>
      <family val="2"/>
    </font>
    <font>
      <b/>
      <sz val="14"/>
      <color rgb="FF00B050"/>
      <name val="Speedee"/>
      <family val="2"/>
    </font>
    <font>
      <b/>
      <sz val="22"/>
      <color theme="0"/>
      <name val="Speedee"/>
      <family val="2"/>
    </font>
    <font>
      <b/>
      <sz val="22"/>
      <name val="Speedee"/>
      <family val="2"/>
    </font>
    <font>
      <sz val="20"/>
      <color theme="1"/>
      <name val="Speedee"/>
      <family val="2"/>
    </font>
    <font>
      <b/>
      <u/>
      <sz val="20"/>
      <name val="Speedee"/>
      <family val="2"/>
    </font>
    <font>
      <b/>
      <sz val="18"/>
      <name val="Speedee"/>
      <family val="2"/>
    </font>
    <font>
      <b/>
      <sz val="18"/>
      <color rgb="FFFF0000"/>
      <name val="Speedee"/>
      <family val="2"/>
    </font>
    <font>
      <b/>
      <sz val="18"/>
      <color rgb="FFFFC000"/>
      <name val="Speedee"/>
      <family val="2"/>
    </font>
    <font>
      <sz val="18"/>
      <name val="Speedee"/>
      <family val="2"/>
    </font>
    <font>
      <sz val="12"/>
      <name val="Speedee"/>
      <family val="2"/>
    </font>
    <font>
      <sz val="12"/>
      <color theme="1"/>
      <name val="Speedee"/>
      <family val="2"/>
    </font>
    <font>
      <sz val="18"/>
      <color theme="1"/>
      <name val="Speedee"/>
      <family val="2"/>
    </font>
    <font>
      <sz val="18"/>
      <color rgb="FFFF0000"/>
      <name val="Speedee"/>
      <family val="2"/>
    </font>
    <font>
      <sz val="18"/>
      <color theme="0"/>
      <name val="Speedee"/>
      <family val="2"/>
    </font>
    <font>
      <i/>
      <sz val="18"/>
      <name val="Speedee"/>
      <family val="2"/>
    </font>
    <font>
      <i/>
      <sz val="18"/>
      <color theme="0"/>
      <name val="Speedee"/>
      <family val="2"/>
    </font>
    <font>
      <i/>
      <sz val="16"/>
      <color theme="0"/>
      <name val="Speedee"/>
      <family val="2"/>
    </font>
    <font>
      <b/>
      <sz val="18"/>
      <color theme="1"/>
      <name val="Speedee"/>
      <family val="2"/>
    </font>
    <font>
      <sz val="12"/>
      <color rgb="FFFF0000"/>
      <name val="Speedee"/>
      <family val="2"/>
    </font>
    <font>
      <sz val="16"/>
      <name val="Speedee"/>
      <family val="2"/>
    </font>
    <font>
      <i/>
      <sz val="11"/>
      <name val="Speedee"/>
      <family val="2"/>
    </font>
    <font>
      <b/>
      <sz val="12"/>
      <name val="Speedee"/>
      <family val="2"/>
    </font>
    <font>
      <sz val="12"/>
      <color rgb="FF000000"/>
      <name val="Speedee"/>
      <family val="2"/>
    </font>
    <font>
      <b/>
      <sz val="12"/>
      <color rgb="FF000000"/>
      <name val="Speedee"/>
      <family val="2"/>
    </font>
    <font>
      <i/>
      <sz val="10"/>
      <name val="Speedee Light Italic"/>
    </font>
    <font>
      <i/>
      <sz val="14"/>
      <color rgb="FFFF0000"/>
      <name val="Speedee"/>
      <family val="2"/>
    </font>
    <font>
      <i/>
      <sz val="14"/>
      <color theme="1"/>
      <name val="Speedee"/>
      <family val="2"/>
    </font>
    <font>
      <b/>
      <sz val="16"/>
      <color theme="0"/>
      <name val="Speedee"/>
      <family val="2"/>
    </font>
    <font>
      <sz val="14"/>
      <color theme="0"/>
      <name val="Speedee"/>
      <family val="2"/>
    </font>
    <font>
      <b/>
      <sz val="14"/>
      <color rgb="FF000000"/>
      <name val="Speedee"/>
    </font>
    <font>
      <sz val="12"/>
      <color rgb="FF000000"/>
      <name val="Speedee"/>
    </font>
    <font>
      <b/>
      <sz val="12"/>
      <color rgb="FF000000"/>
      <name val="Speedee"/>
    </font>
  </fonts>
  <fills count="2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bgColor indexed="64"/>
      </patternFill>
    </fill>
    <fill>
      <patternFill patternType="solid">
        <fgColor rgb="FFFFFFFF"/>
        <bgColor indexed="64"/>
      </patternFill>
    </fill>
    <fill>
      <patternFill patternType="solid">
        <fgColor rgb="FFD0CECE"/>
        <bgColor indexed="64"/>
      </patternFill>
    </fill>
    <fill>
      <patternFill patternType="solid">
        <fgColor theme="7" tint="0.79998168889431442"/>
        <bgColor indexed="64"/>
      </patternFill>
    </fill>
    <fill>
      <patternFill patternType="solid">
        <fgColor rgb="FFCC0099"/>
        <bgColor indexed="64"/>
      </patternFill>
    </fill>
    <fill>
      <patternFill patternType="solid">
        <fgColor theme="2"/>
        <bgColor indexed="64"/>
      </patternFill>
    </fill>
    <fill>
      <patternFill patternType="solid">
        <fgColor theme="2"/>
        <bgColor rgb="FF000000"/>
      </patternFill>
    </fill>
    <fill>
      <patternFill patternType="solid">
        <fgColor rgb="FFE7E6E6"/>
        <bgColor rgb="FF000000"/>
      </patternFill>
    </fill>
    <fill>
      <patternFill patternType="solid">
        <fgColor rgb="FF0070C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bgColor indexed="64"/>
      </patternFill>
    </fill>
    <fill>
      <patternFill patternType="solid">
        <fgColor rgb="FFFED0F7"/>
        <bgColor indexed="64"/>
      </patternFill>
    </fill>
    <fill>
      <patternFill patternType="solid">
        <fgColor rgb="FF00B0F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59999389629810485"/>
        <bgColor rgb="FF000000"/>
      </patternFill>
    </fill>
    <fill>
      <patternFill patternType="solid">
        <fgColor rgb="FFFFBFA2"/>
        <bgColor indexed="64"/>
      </patternFill>
    </fill>
    <fill>
      <patternFill patternType="solid">
        <fgColor rgb="FFFED0F7"/>
        <bgColor rgb="FF000000"/>
      </patternFill>
    </fill>
    <fill>
      <patternFill patternType="solid">
        <fgColor theme="6" tint="-0.249977111117893"/>
        <bgColor indexed="64"/>
      </patternFill>
    </fill>
  </fills>
  <borders count="62">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theme="1"/>
      </left>
      <right style="thin">
        <color indexed="64"/>
      </right>
      <top style="thin">
        <color indexed="64"/>
      </top>
      <bottom/>
      <diagonal/>
    </border>
    <border>
      <left style="thin">
        <color indexed="64"/>
      </left>
      <right style="thin">
        <color theme="1"/>
      </right>
      <top style="thin">
        <color indexed="64"/>
      </top>
      <bottom/>
      <diagonal/>
    </border>
    <border>
      <left style="thin">
        <color theme="1"/>
      </left>
      <right/>
      <top/>
      <bottom/>
      <diagonal/>
    </border>
    <border>
      <left/>
      <right style="thin">
        <color theme="1"/>
      </right>
      <top/>
      <bottom/>
      <diagonal/>
    </border>
    <border>
      <left style="thin">
        <color theme="1"/>
      </left>
      <right style="thin">
        <color indexed="64"/>
      </right>
      <top style="medium">
        <color indexed="64"/>
      </top>
      <bottom style="thin">
        <color indexed="64"/>
      </bottom>
      <diagonal/>
    </border>
    <border>
      <left style="thin">
        <color indexed="64"/>
      </left>
      <right style="thin">
        <color theme="1"/>
      </right>
      <top style="medium">
        <color indexed="64"/>
      </top>
      <bottom style="thin">
        <color indexed="64"/>
      </bottom>
      <diagonal/>
    </border>
    <border>
      <left style="thin">
        <color indexed="64"/>
      </left>
      <right/>
      <top style="medium">
        <color indexed="64"/>
      </top>
      <bottom style="medium">
        <color indexed="64"/>
      </bottom>
      <diagonal/>
    </border>
    <border>
      <left/>
      <right style="thin">
        <color rgb="FF000000"/>
      </right>
      <top/>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ck">
        <color indexed="64"/>
      </right>
      <top style="thin">
        <color indexed="64"/>
      </top>
      <bottom style="thin">
        <color indexed="64"/>
      </bottom>
      <diagonal/>
    </border>
    <border>
      <left/>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ck">
        <color indexed="64"/>
      </right>
      <top/>
      <bottom/>
      <diagonal/>
    </border>
    <border>
      <left style="thick">
        <color indexed="64"/>
      </left>
      <right/>
      <top/>
      <bottom/>
      <diagonal/>
    </border>
    <border>
      <left/>
      <right style="thick">
        <color indexed="64"/>
      </right>
      <top/>
      <bottom/>
      <diagonal/>
    </border>
    <border>
      <left style="thick">
        <color indexed="64"/>
      </left>
      <right style="thin">
        <color indexed="64"/>
      </right>
      <top/>
      <bottom/>
      <diagonal/>
    </border>
    <border>
      <left style="thin">
        <color indexed="64"/>
      </left>
      <right style="thick">
        <color indexed="64"/>
      </right>
      <top/>
      <bottom style="medium">
        <color indexed="64"/>
      </bottom>
      <diagonal/>
    </border>
    <border>
      <left style="thick">
        <color indexed="64"/>
      </left>
      <right/>
      <top/>
      <bottom style="medium">
        <color indexed="64"/>
      </bottom>
      <diagonal/>
    </border>
    <border>
      <left/>
      <right style="thick">
        <color indexed="64"/>
      </right>
      <top/>
      <bottom style="medium">
        <color indexed="64"/>
      </bottom>
      <diagonal/>
    </border>
    <border>
      <left style="thick">
        <color indexed="64"/>
      </left>
      <right style="thin">
        <color indexed="64"/>
      </right>
      <top/>
      <bottom style="medium">
        <color indexed="64"/>
      </bottom>
      <diagonal/>
    </border>
    <border>
      <left style="thick">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theme="1"/>
      </left>
      <right style="thin">
        <color indexed="64"/>
      </right>
      <top style="medium">
        <color indexed="64"/>
      </top>
      <bottom/>
      <diagonal/>
    </border>
    <border>
      <left style="thin">
        <color indexed="64"/>
      </left>
      <right style="thin">
        <color theme="1"/>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1" fillId="0" borderId="0"/>
  </cellStyleXfs>
  <cellXfs count="436">
    <xf numFmtId="0" fontId="0" fillId="0" borderId="0" xfId="0"/>
    <xf numFmtId="0" fontId="6" fillId="2" borderId="0" xfId="1" applyFont="1" applyFill="1"/>
    <xf numFmtId="0" fontId="3" fillId="2" borderId="0" xfId="1" applyFont="1" applyFill="1"/>
    <xf numFmtId="0" fontId="3" fillId="2" borderId="0" xfId="1" applyFont="1" applyFill="1" applyAlignment="1">
      <alignment horizontal="center" vertical="center"/>
    </xf>
    <xf numFmtId="164" fontId="3" fillId="2" borderId="0" xfId="1" applyNumberFormat="1" applyFont="1" applyFill="1" applyAlignment="1">
      <alignment horizontal="center" vertical="center"/>
    </xf>
    <xf numFmtId="0" fontId="3" fillId="2" borderId="0" xfId="1" applyFont="1" applyFill="1" applyAlignment="1">
      <alignment vertical="center"/>
    </xf>
    <xf numFmtId="0" fontId="11" fillId="2" borderId="0" xfId="1" applyFont="1" applyFill="1" applyAlignment="1">
      <alignment horizontal="center"/>
    </xf>
    <xf numFmtId="0" fontId="5" fillId="3" borderId="5" xfId="1" applyFont="1" applyFill="1" applyBorder="1"/>
    <xf numFmtId="0" fontId="5" fillId="0" borderId="5" xfId="1" applyFont="1" applyBorder="1"/>
    <xf numFmtId="164" fontId="5" fillId="0" borderId="3" xfId="1" applyNumberFormat="1" applyFont="1" applyBorder="1" applyAlignment="1">
      <alignment horizontal="center" vertical="center"/>
    </xf>
    <xf numFmtId="164" fontId="5" fillId="0" borderId="1" xfId="1" applyNumberFormat="1" applyFont="1" applyBorder="1" applyAlignment="1">
      <alignment horizontal="center" vertical="center"/>
    </xf>
    <xf numFmtId="0" fontId="6" fillId="0" borderId="0" xfId="1" applyFont="1"/>
    <xf numFmtId="0" fontId="6" fillId="3" borderId="0" xfId="1" applyFont="1" applyFill="1"/>
    <xf numFmtId="164" fontId="3" fillId="0" borderId="3" xfId="1" applyNumberFormat="1" applyFont="1" applyBorder="1" applyAlignment="1">
      <alignment horizontal="center" vertical="center"/>
    </xf>
    <xf numFmtId="164" fontId="3" fillId="0" borderId="1" xfId="1" applyNumberFormat="1" applyFont="1" applyBorder="1" applyAlignment="1">
      <alignment horizontal="center" vertical="center"/>
    </xf>
    <xf numFmtId="164" fontId="6" fillId="3" borderId="0" xfId="1" applyNumberFormat="1" applyFont="1" applyFill="1" applyAlignment="1">
      <alignment horizontal="center" vertical="center"/>
    </xf>
    <xf numFmtId="0" fontId="5" fillId="0" borderId="6" xfId="1" applyFont="1" applyBorder="1"/>
    <xf numFmtId="164" fontId="3" fillId="0" borderId="7" xfId="1" applyNumberFormat="1" applyFont="1" applyBorder="1" applyAlignment="1">
      <alignment horizontal="center" vertical="center"/>
    </xf>
    <xf numFmtId="164" fontId="3" fillId="0" borderId="16" xfId="1" applyNumberFormat="1" applyFont="1" applyBorder="1" applyAlignment="1">
      <alignment horizontal="center" vertical="center"/>
    </xf>
    <xf numFmtId="0" fontId="6" fillId="0" borderId="5" xfId="1" applyFont="1" applyBorder="1" applyAlignment="1">
      <alignment wrapText="1"/>
    </xf>
    <xf numFmtId="0" fontId="3" fillId="0" borderId="0" xfId="1" applyFont="1" applyAlignment="1">
      <alignment horizontal="center" wrapText="1"/>
    </xf>
    <xf numFmtId="0" fontId="6" fillId="0" borderId="0" xfId="1" applyFont="1" applyAlignment="1">
      <alignment horizontal="center" wrapText="1"/>
    </xf>
    <xf numFmtId="0" fontId="6" fillId="0" borderId="0" xfId="1" applyFont="1" applyAlignment="1">
      <alignment wrapText="1"/>
    </xf>
    <xf numFmtId="0" fontId="6" fillId="0" borderId="4" xfId="1" applyFont="1" applyBorder="1" applyAlignment="1">
      <alignment wrapText="1"/>
    </xf>
    <xf numFmtId="0" fontId="6" fillId="2" borderId="0" xfId="1" applyFont="1" applyFill="1" applyAlignment="1">
      <alignment horizontal="center" vertical="center"/>
    </xf>
    <xf numFmtId="164" fontId="6" fillId="2" borderId="0" xfId="1" applyNumberFormat="1" applyFont="1" applyFill="1" applyAlignment="1">
      <alignment horizontal="center" vertical="center"/>
    </xf>
    <xf numFmtId="0" fontId="6" fillId="2" borderId="0" xfId="1" applyFont="1" applyFill="1" applyAlignment="1">
      <alignment vertical="center"/>
    </xf>
    <xf numFmtId="0" fontId="11" fillId="2" borderId="1" xfId="1" applyFont="1" applyFill="1" applyBorder="1"/>
    <xf numFmtId="0" fontId="5" fillId="2" borderId="2" xfId="1" applyFont="1" applyFill="1" applyBorder="1"/>
    <xf numFmtId="0" fontId="9" fillId="5" borderId="9" xfId="1" applyFont="1" applyFill="1" applyBorder="1" applyAlignment="1">
      <alignment horizontal="center" vertical="center" wrapText="1"/>
    </xf>
    <xf numFmtId="0" fontId="5" fillId="0" borderId="5" xfId="1" applyFont="1" applyBorder="1" applyAlignment="1">
      <alignment horizontal="center" wrapText="1"/>
    </xf>
    <xf numFmtId="0" fontId="5" fillId="0" borderId="23" xfId="1" applyFont="1" applyBorder="1" applyAlignment="1">
      <alignment horizontal="center"/>
    </xf>
    <xf numFmtId="0" fontId="5" fillId="0" borderId="26" xfId="1" applyFont="1" applyBorder="1" applyAlignment="1">
      <alignment horizontal="center"/>
    </xf>
    <xf numFmtId="0" fontId="13" fillId="3" borderId="27" xfId="1" applyFont="1" applyFill="1" applyBorder="1" applyAlignment="1">
      <alignment wrapText="1"/>
    </xf>
    <xf numFmtId="0" fontId="14" fillId="3" borderId="21" xfId="1" applyFont="1" applyFill="1" applyBorder="1" applyAlignment="1">
      <alignment horizontal="center" vertical="center"/>
    </xf>
    <xf numFmtId="164" fontId="14" fillId="3" borderId="25" xfId="1" applyNumberFormat="1" applyFont="1" applyFill="1" applyBorder="1" applyAlignment="1">
      <alignment horizontal="center" vertical="center"/>
    </xf>
    <xf numFmtId="0" fontId="14" fillId="3" borderId="25" xfId="1" applyFont="1" applyFill="1" applyBorder="1" applyAlignment="1">
      <alignment horizontal="center" vertical="center"/>
    </xf>
    <xf numFmtId="0" fontId="14" fillId="3" borderId="22" xfId="1" applyFont="1" applyFill="1" applyBorder="1" applyAlignment="1">
      <alignment horizontal="center" vertical="center"/>
    </xf>
    <xf numFmtId="0" fontId="14" fillId="3" borderId="24" xfId="1" applyFont="1" applyFill="1" applyBorder="1" applyAlignment="1">
      <alignment horizontal="center" vertical="center"/>
    </xf>
    <xf numFmtId="0" fontId="13" fillId="0" borderId="5" xfId="1" applyFont="1" applyBorder="1" applyAlignment="1">
      <alignment wrapText="1"/>
    </xf>
    <xf numFmtId="0" fontId="14" fillId="0" borderId="3" xfId="1" applyFont="1" applyBorder="1" applyAlignment="1">
      <alignment horizontal="center" vertical="center"/>
    </xf>
    <xf numFmtId="164" fontId="14" fillId="0" borderId="0" xfId="1" applyNumberFormat="1" applyFont="1" applyAlignment="1">
      <alignment horizontal="center" vertical="center"/>
    </xf>
    <xf numFmtId="0" fontId="14" fillId="0" borderId="0" xfId="1" applyFont="1" applyAlignment="1">
      <alignment horizontal="center" vertical="center"/>
    </xf>
    <xf numFmtId="0" fontId="14" fillId="0" borderId="1" xfId="1" applyFont="1" applyBorder="1" applyAlignment="1">
      <alignment horizontal="center" vertical="center"/>
    </xf>
    <xf numFmtId="0" fontId="14" fillId="0" borderId="4" xfId="1" applyFont="1" applyBorder="1" applyAlignment="1">
      <alignment horizontal="center" vertical="center"/>
    </xf>
    <xf numFmtId="0" fontId="13" fillId="3" borderId="5" xfId="1" applyFont="1" applyFill="1" applyBorder="1" applyAlignment="1">
      <alignment wrapText="1"/>
    </xf>
    <xf numFmtId="0" fontId="14" fillId="3" borderId="3" xfId="1" applyFont="1" applyFill="1" applyBorder="1" applyAlignment="1">
      <alignment horizontal="center" vertical="center"/>
    </xf>
    <xf numFmtId="164" fontId="14" fillId="3" borderId="0" xfId="1" applyNumberFormat="1" applyFont="1" applyFill="1" applyAlignment="1">
      <alignment horizontal="center" vertical="center"/>
    </xf>
    <xf numFmtId="0" fontId="14" fillId="3" borderId="0" xfId="1" applyFont="1" applyFill="1" applyAlignment="1">
      <alignment horizontal="center" vertical="center"/>
    </xf>
    <xf numFmtId="0" fontId="14" fillId="3" borderId="1" xfId="1" applyFont="1" applyFill="1" applyBorder="1" applyAlignment="1">
      <alignment horizontal="center" vertical="center"/>
    </xf>
    <xf numFmtId="0" fontId="14" fillId="3" borderId="4" xfId="1" applyFont="1" applyFill="1" applyBorder="1" applyAlignment="1">
      <alignment horizontal="center" vertical="center"/>
    </xf>
    <xf numFmtId="0" fontId="13" fillId="0" borderId="3" xfId="1" applyFont="1" applyBorder="1" applyAlignment="1">
      <alignment vertical="center"/>
    </xf>
    <xf numFmtId="164" fontId="14" fillId="0" borderId="1" xfId="1" applyNumberFormat="1" applyFont="1" applyBorder="1" applyAlignment="1">
      <alignment horizontal="center" vertical="center"/>
    </xf>
    <xf numFmtId="164" fontId="14" fillId="0" borderId="4" xfId="1" applyNumberFormat="1" applyFont="1" applyBorder="1" applyAlignment="1">
      <alignment horizontal="center" vertical="center"/>
    </xf>
    <xf numFmtId="0" fontId="6" fillId="3" borderId="3" xfId="1" applyFont="1" applyFill="1" applyBorder="1" applyAlignment="1">
      <alignment horizontal="center" vertical="center"/>
    </xf>
    <xf numFmtId="0" fontId="6" fillId="3" borderId="1" xfId="1" applyFont="1" applyFill="1" applyBorder="1" applyAlignment="1">
      <alignment horizontal="center" vertical="center"/>
    </xf>
    <xf numFmtId="0" fontId="6" fillId="3" borderId="4" xfId="1" applyFont="1" applyFill="1" applyBorder="1" applyAlignment="1">
      <alignment horizontal="center" vertical="center"/>
    </xf>
    <xf numFmtId="0" fontId="13" fillId="6" borderId="5" xfId="1" applyFont="1" applyFill="1" applyBorder="1" applyAlignment="1">
      <alignment wrapText="1"/>
    </xf>
    <xf numFmtId="0" fontId="14" fillId="6" borderId="3" xfId="1" applyFont="1" applyFill="1" applyBorder="1" applyAlignment="1">
      <alignment horizontal="center" vertical="center"/>
    </xf>
    <xf numFmtId="164" fontId="14" fillId="6" borderId="0" xfId="1" applyNumberFormat="1" applyFont="1" applyFill="1" applyAlignment="1">
      <alignment horizontal="center" vertical="center"/>
    </xf>
    <xf numFmtId="0" fontId="14" fillId="6" borderId="0" xfId="1" applyFont="1" applyFill="1" applyAlignment="1">
      <alignment horizontal="center" vertical="center"/>
    </xf>
    <xf numFmtId="0" fontId="14" fillId="6" borderId="1" xfId="1" applyFont="1" applyFill="1" applyBorder="1" applyAlignment="1">
      <alignment horizontal="center" vertical="center"/>
    </xf>
    <xf numFmtId="0" fontId="14" fillId="6" borderId="4" xfId="1" applyFont="1" applyFill="1" applyBorder="1" applyAlignment="1">
      <alignment horizontal="center" vertical="center"/>
    </xf>
    <xf numFmtId="0" fontId="6" fillId="3" borderId="0" xfId="1" applyFont="1" applyFill="1" applyAlignment="1">
      <alignment horizontal="center" vertical="center"/>
    </xf>
    <xf numFmtId="0" fontId="14" fillId="7" borderId="4" xfId="1" applyFont="1" applyFill="1" applyBorder="1" applyAlignment="1">
      <alignment horizontal="center" vertical="center"/>
    </xf>
    <xf numFmtId="0" fontId="15" fillId="0" borderId="5" xfId="1" applyFont="1" applyBorder="1" applyAlignment="1">
      <alignment wrapText="1"/>
    </xf>
    <xf numFmtId="0" fontId="16" fillId="0" borderId="3" xfId="1" applyFont="1" applyBorder="1" applyAlignment="1">
      <alignment horizontal="center" vertical="center"/>
    </xf>
    <xf numFmtId="164" fontId="16" fillId="0" borderId="0" xfId="1" applyNumberFormat="1" applyFont="1" applyAlignment="1">
      <alignment horizontal="center" vertical="center"/>
    </xf>
    <xf numFmtId="0" fontId="16" fillId="0" borderId="0" xfId="1" applyFont="1" applyAlignment="1">
      <alignment horizontal="center" vertical="center"/>
    </xf>
    <xf numFmtId="0" fontId="16" fillId="0" borderId="1" xfId="1" applyFont="1" applyBorder="1" applyAlignment="1">
      <alignment horizontal="center" vertical="center"/>
    </xf>
    <xf numFmtId="0" fontId="16" fillId="0" borderId="4" xfId="1" applyFont="1" applyBorder="1" applyAlignment="1">
      <alignment horizontal="center" vertical="center"/>
    </xf>
    <xf numFmtId="0" fontId="5" fillId="0" borderId="5" xfId="1" applyFont="1" applyBorder="1" applyAlignment="1">
      <alignment wrapText="1"/>
    </xf>
    <xf numFmtId="0" fontId="5" fillId="0" borderId="3" xfId="1" applyFont="1" applyBorder="1" applyAlignment="1">
      <alignment wrapText="1"/>
    </xf>
    <xf numFmtId="0" fontId="5" fillId="0" borderId="0" xfId="1" applyFont="1" applyAlignment="1">
      <alignment wrapText="1"/>
    </xf>
    <xf numFmtId="0" fontId="5" fillId="0" borderId="1" xfId="1" applyFont="1" applyBorder="1" applyAlignment="1">
      <alignment wrapText="1"/>
    </xf>
    <xf numFmtId="0" fontId="5" fillId="0" borderId="8" xfId="1" applyFont="1" applyBorder="1" applyAlignment="1">
      <alignment wrapText="1"/>
    </xf>
    <xf numFmtId="164" fontId="3" fillId="0" borderId="14" xfId="1" applyNumberFormat="1" applyFont="1" applyBorder="1" applyAlignment="1">
      <alignment horizontal="center" vertical="center"/>
    </xf>
    <xf numFmtId="0" fontId="6" fillId="2" borderId="8" xfId="1" applyFont="1" applyFill="1" applyBorder="1"/>
    <xf numFmtId="0" fontId="5" fillId="2" borderId="5" xfId="1" applyFont="1" applyFill="1" applyBorder="1"/>
    <xf numFmtId="0" fontId="3" fillId="2" borderId="4" xfId="1" applyFont="1" applyFill="1" applyBorder="1" applyAlignment="1">
      <alignment horizontal="center" vertical="center"/>
    </xf>
    <xf numFmtId="0" fontId="3" fillId="0" borderId="4" xfId="1" applyFont="1" applyBorder="1" applyAlignment="1">
      <alignment horizontal="center" vertical="center"/>
    </xf>
    <xf numFmtId="164" fontId="3" fillId="0" borderId="0" xfId="1" applyNumberFormat="1" applyFont="1" applyAlignment="1">
      <alignment horizontal="center" vertical="center"/>
    </xf>
    <xf numFmtId="164" fontId="5" fillId="0" borderId="0" xfId="1" applyNumberFormat="1" applyFont="1" applyAlignment="1">
      <alignment horizontal="center" vertical="center"/>
    </xf>
    <xf numFmtId="0" fontId="3" fillId="0" borderId="0" xfId="1" applyFont="1" applyAlignment="1">
      <alignment horizontal="center" vertical="center"/>
    </xf>
    <xf numFmtId="0" fontId="5" fillId="10" borderId="5" xfId="1" applyFont="1" applyFill="1" applyBorder="1"/>
    <xf numFmtId="164" fontId="3" fillId="10" borderId="1" xfId="1" applyNumberFormat="1" applyFont="1" applyFill="1" applyBorder="1" applyAlignment="1">
      <alignment horizontal="center" vertical="center"/>
    </xf>
    <xf numFmtId="0" fontId="6" fillId="10" borderId="0" xfId="1" applyFont="1" applyFill="1"/>
    <xf numFmtId="0" fontId="5" fillId="10" borderId="5" xfId="1" applyFont="1" applyFill="1" applyBorder="1" applyAlignment="1">
      <alignment wrapText="1"/>
    </xf>
    <xf numFmtId="164" fontId="5" fillId="10" borderId="3" xfId="1" applyNumberFormat="1" applyFont="1" applyFill="1" applyBorder="1" applyAlignment="1">
      <alignment horizontal="center" vertical="center"/>
    </xf>
    <xf numFmtId="164" fontId="5" fillId="10" borderId="1" xfId="1" applyNumberFormat="1" applyFont="1" applyFill="1" applyBorder="1" applyAlignment="1">
      <alignment horizontal="center" vertical="center"/>
    </xf>
    <xf numFmtId="0" fontId="3" fillId="10" borderId="4" xfId="1" applyFont="1" applyFill="1" applyBorder="1" applyAlignment="1">
      <alignment horizontal="center" vertical="center"/>
    </xf>
    <xf numFmtId="164" fontId="5" fillId="10" borderId="0" xfId="1" applyNumberFormat="1" applyFont="1" applyFill="1" applyAlignment="1">
      <alignment horizontal="center" vertical="center"/>
    </xf>
    <xf numFmtId="164" fontId="3" fillId="10" borderId="0" xfId="1" applyNumberFormat="1" applyFont="1" applyFill="1" applyAlignment="1">
      <alignment horizontal="center" vertical="center"/>
    </xf>
    <xf numFmtId="164" fontId="3" fillId="0" borderId="0" xfId="1" applyNumberFormat="1" applyFont="1" applyAlignment="1">
      <alignment horizontal="center" vertical="center" wrapText="1"/>
    </xf>
    <xf numFmtId="164" fontId="3" fillId="0" borderId="0" xfId="0" applyNumberFormat="1" applyFont="1" applyAlignment="1">
      <alignment horizontal="center" vertical="center"/>
    </xf>
    <xf numFmtId="164" fontId="3" fillId="11" borderId="0" xfId="0" applyNumberFormat="1" applyFont="1" applyFill="1" applyAlignment="1">
      <alignment horizontal="center" vertical="center"/>
    </xf>
    <xf numFmtId="0" fontId="5" fillId="0" borderId="30" xfId="1" applyFont="1" applyBorder="1" applyAlignment="1">
      <alignment horizontal="center" vertical="center"/>
    </xf>
    <xf numFmtId="0" fontId="5" fillId="0" borderId="23" xfId="1" applyFont="1" applyBorder="1" applyAlignment="1">
      <alignment horizontal="center" vertical="center" wrapText="1"/>
    </xf>
    <xf numFmtId="0" fontId="5" fillId="0" borderId="13" xfId="1" applyFont="1" applyBorder="1" applyAlignment="1">
      <alignment horizontal="center"/>
    </xf>
    <xf numFmtId="0" fontId="5" fillId="0" borderId="17" xfId="1" applyFont="1" applyBorder="1" applyAlignment="1">
      <alignment horizontal="center" vertical="center"/>
    </xf>
    <xf numFmtId="0" fontId="6" fillId="10" borderId="0" xfId="1" applyFont="1" applyFill="1" applyAlignment="1">
      <alignment horizontal="center" vertical="center"/>
    </xf>
    <xf numFmtId="164" fontId="12" fillId="2" borderId="0" xfId="1" applyNumberFormat="1" applyFont="1" applyFill="1" applyAlignment="1">
      <alignment horizontal="center" vertical="center"/>
    </xf>
    <xf numFmtId="0" fontId="5" fillId="0" borderId="0" xfId="1" applyFont="1" applyAlignment="1">
      <alignment vertical="center"/>
    </xf>
    <xf numFmtId="0" fontId="3" fillId="10" borderId="0" xfId="1" applyFont="1" applyFill="1" applyAlignment="1">
      <alignment horizontal="center" vertical="center"/>
    </xf>
    <xf numFmtId="0" fontId="5" fillId="0" borderId="32" xfId="1" applyFont="1" applyBorder="1" applyAlignment="1">
      <alignment horizontal="center" vertical="center" wrapText="1"/>
    </xf>
    <xf numFmtId="0" fontId="5" fillId="0" borderId="33" xfId="1" applyFont="1" applyBorder="1" applyAlignment="1">
      <alignment horizontal="center" vertical="center" wrapText="1"/>
    </xf>
    <xf numFmtId="0" fontId="3" fillId="0" borderId="34" xfId="1" applyFont="1" applyBorder="1" applyAlignment="1">
      <alignment horizontal="center" vertical="center"/>
    </xf>
    <xf numFmtId="0" fontId="3" fillId="0" borderId="35" xfId="1" applyFont="1" applyBorder="1" applyAlignment="1">
      <alignment horizontal="center" vertical="center"/>
    </xf>
    <xf numFmtId="164" fontId="3" fillId="10" borderId="34" xfId="1" applyNumberFormat="1" applyFont="1" applyFill="1" applyBorder="1" applyAlignment="1">
      <alignment horizontal="center" vertical="center"/>
    </xf>
    <xf numFmtId="164" fontId="3" fillId="10" borderId="35" xfId="1" applyNumberFormat="1" applyFont="1" applyFill="1" applyBorder="1" applyAlignment="1">
      <alignment horizontal="center" vertical="center"/>
    </xf>
    <xf numFmtId="164" fontId="3" fillId="0" borderId="34" xfId="1" applyNumberFormat="1" applyFont="1" applyBorder="1" applyAlignment="1">
      <alignment horizontal="center" vertical="center"/>
    </xf>
    <xf numFmtId="164" fontId="3" fillId="0" borderId="35" xfId="1" applyNumberFormat="1" applyFont="1" applyBorder="1" applyAlignment="1">
      <alignment horizontal="center" vertical="center"/>
    </xf>
    <xf numFmtId="164" fontId="6" fillId="10" borderId="34" xfId="1" applyNumberFormat="1" applyFont="1" applyFill="1" applyBorder="1" applyAlignment="1">
      <alignment horizontal="center" vertical="center"/>
    </xf>
    <xf numFmtId="164" fontId="6" fillId="10" borderId="35" xfId="1" applyNumberFormat="1" applyFont="1" applyFill="1" applyBorder="1" applyAlignment="1">
      <alignment horizontal="center" vertical="center"/>
    </xf>
    <xf numFmtId="164" fontId="12" fillId="0" borderId="34" xfId="1" applyNumberFormat="1" applyFont="1" applyBorder="1" applyAlignment="1">
      <alignment horizontal="center" vertical="center"/>
    </xf>
    <xf numFmtId="0" fontId="17" fillId="10" borderId="0" xfId="1" applyFont="1" applyFill="1"/>
    <xf numFmtId="0" fontId="6" fillId="0" borderId="0" xfId="1" applyFont="1" applyAlignment="1">
      <alignment horizontal="center" vertical="center"/>
    </xf>
    <xf numFmtId="164" fontId="3" fillId="10" borderId="3" xfId="1" applyNumberFormat="1" applyFont="1" applyFill="1" applyBorder="1" applyAlignment="1">
      <alignment horizontal="center" vertical="center"/>
    </xf>
    <xf numFmtId="0" fontId="3" fillId="0" borderId="0" xfId="1" applyFont="1"/>
    <xf numFmtId="0" fontId="3" fillId="10" borderId="3" xfId="1" applyFont="1" applyFill="1" applyBorder="1" applyAlignment="1">
      <alignment horizontal="center" vertical="center"/>
    </xf>
    <xf numFmtId="0" fontId="3" fillId="10" borderId="0" xfId="1" applyFont="1" applyFill="1"/>
    <xf numFmtId="0" fontId="5" fillId="10" borderId="0" xfId="1" applyFont="1" applyFill="1"/>
    <xf numFmtId="0" fontId="5" fillId="2" borderId="0" xfId="1" applyFont="1" applyFill="1"/>
    <xf numFmtId="0" fontId="3" fillId="0" borderId="0" xfId="1" applyFont="1" applyAlignment="1">
      <alignment vertical="center"/>
    </xf>
    <xf numFmtId="0" fontId="5" fillId="10" borderId="5" xfId="1" applyFont="1" applyFill="1" applyBorder="1" applyAlignment="1">
      <alignment vertical="center"/>
    </xf>
    <xf numFmtId="164" fontId="6" fillId="10" borderId="0" xfId="1" applyNumberFormat="1" applyFont="1" applyFill="1" applyAlignment="1">
      <alignment horizontal="center" vertical="center"/>
    </xf>
    <xf numFmtId="0" fontId="5" fillId="0" borderId="36" xfId="1" applyFont="1" applyBorder="1" applyAlignment="1">
      <alignment horizontal="center" vertical="center"/>
    </xf>
    <xf numFmtId="0" fontId="3" fillId="0" borderId="15" xfId="1" applyFont="1" applyBorder="1" applyAlignment="1">
      <alignment horizontal="center" vertical="center"/>
    </xf>
    <xf numFmtId="0" fontId="3" fillId="0" borderId="37" xfId="1" applyFont="1" applyBorder="1" applyAlignment="1">
      <alignment horizontal="center" vertical="center"/>
    </xf>
    <xf numFmtId="49" fontId="3" fillId="10" borderId="35" xfId="1" applyNumberFormat="1" applyFont="1" applyFill="1" applyBorder="1" applyAlignment="1">
      <alignment horizontal="center" vertical="center"/>
    </xf>
    <xf numFmtId="0" fontId="13" fillId="10" borderId="5" xfId="1" applyFont="1" applyFill="1" applyBorder="1"/>
    <xf numFmtId="164" fontId="3" fillId="10" borderId="0" xfId="1" applyNumberFormat="1" applyFont="1" applyFill="1" applyAlignment="1">
      <alignment horizontal="center" vertical="center" wrapText="1"/>
    </xf>
    <xf numFmtId="164" fontId="16" fillId="10" borderId="3" xfId="1" applyNumberFormat="1" applyFont="1" applyFill="1" applyBorder="1" applyAlignment="1">
      <alignment horizontal="center" vertical="center"/>
    </xf>
    <xf numFmtId="164" fontId="16" fillId="10" borderId="0" xfId="1" applyNumberFormat="1" applyFont="1" applyFill="1" applyAlignment="1">
      <alignment horizontal="center" vertical="center"/>
    </xf>
    <xf numFmtId="0" fontId="3" fillId="12" borderId="39" xfId="0" applyFont="1" applyFill="1" applyBorder="1" applyAlignment="1">
      <alignment horizontal="center" vertical="center"/>
    </xf>
    <xf numFmtId="0" fontId="19" fillId="0" borderId="0" xfId="1" applyFont="1" applyAlignment="1">
      <alignment vertical="center"/>
    </xf>
    <xf numFmtId="0" fontId="20" fillId="0" borderId="0" xfId="1" applyFont="1"/>
    <xf numFmtId="0" fontId="21" fillId="2" borderId="0" xfId="1" applyFont="1" applyFill="1"/>
    <xf numFmtId="0" fontId="20" fillId="2" borderId="0" xfId="1" applyFont="1" applyFill="1"/>
    <xf numFmtId="0" fontId="23" fillId="0" borderId="0" xfId="1" applyFont="1"/>
    <xf numFmtId="0" fontId="24" fillId="0" borderId="0" xfId="1" applyFont="1"/>
    <xf numFmtId="0" fontId="25" fillId="2" borderId="0" xfId="1" applyFont="1" applyFill="1"/>
    <xf numFmtId="0" fontId="25" fillId="2" borderId="0" xfId="1" applyFont="1" applyFill="1" applyAlignment="1">
      <alignment horizontal="center" vertical="center"/>
    </xf>
    <xf numFmtId="0" fontId="22" fillId="2" borderId="0" xfId="1" applyFont="1" applyFill="1" applyAlignment="1">
      <alignment horizontal="center" vertical="center"/>
    </xf>
    <xf numFmtId="0" fontId="25" fillId="2" borderId="0" xfId="1" applyFont="1" applyFill="1" applyAlignment="1">
      <alignment horizontal="left" vertical="center"/>
    </xf>
    <xf numFmtId="164" fontId="25" fillId="2" borderId="0" xfId="1" applyNumberFormat="1" applyFont="1" applyFill="1" applyAlignment="1">
      <alignment horizontal="center" vertical="center"/>
    </xf>
    <xf numFmtId="0" fontId="25" fillId="2" borderId="0" xfId="1" applyFont="1" applyFill="1" applyAlignment="1">
      <alignment vertical="center"/>
    </xf>
    <xf numFmtId="0" fontId="26" fillId="2" borderId="0" xfId="1" applyFont="1" applyFill="1" applyAlignment="1">
      <alignment vertical="center"/>
    </xf>
    <xf numFmtId="0" fontId="27" fillId="2" borderId="0" xfId="1" applyFont="1" applyFill="1"/>
    <xf numFmtId="164" fontId="25" fillId="0" borderId="0" xfId="1" applyNumberFormat="1" applyFont="1" applyAlignment="1">
      <alignment horizontal="center" vertical="center"/>
    </xf>
    <xf numFmtId="0" fontId="22" fillId="0" borderId="13" xfId="1" applyFont="1" applyBorder="1" applyAlignment="1">
      <alignment horizontal="center" vertical="center"/>
    </xf>
    <xf numFmtId="0" fontId="22" fillId="0" borderId="9" xfId="1" applyFont="1" applyBorder="1" applyAlignment="1">
      <alignment horizontal="center" vertical="center" wrapText="1"/>
    </xf>
    <xf numFmtId="0" fontId="22" fillId="0" borderId="18" xfId="1" applyFont="1" applyBorder="1" applyAlignment="1">
      <alignment horizontal="center" vertical="center" wrapText="1"/>
    </xf>
    <xf numFmtId="0" fontId="22" fillId="14" borderId="40" xfId="1" applyFont="1" applyFill="1" applyBorder="1" applyAlignment="1">
      <alignment horizontal="center" vertical="center" wrapText="1"/>
    </xf>
    <xf numFmtId="0" fontId="22" fillId="14" borderId="41" xfId="1" applyFont="1" applyFill="1" applyBorder="1" applyAlignment="1">
      <alignment horizontal="center" vertical="center" wrapText="1"/>
    </xf>
    <xf numFmtId="0" fontId="22" fillId="0" borderId="20" xfId="1" applyFont="1" applyBorder="1" applyAlignment="1">
      <alignment horizontal="center" vertical="center" wrapText="1"/>
    </xf>
    <xf numFmtId="164" fontId="23" fillId="0" borderId="0" xfId="1" applyNumberFormat="1" applyFont="1" applyAlignment="1">
      <alignment vertical="center" wrapText="1"/>
    </xf>
    <xf numFmtId="164" fontId="2" fillId="0" borderId="0" xfId="1" applyNumberFormat="1" applyFont="1" applyAlignment="1">
      <alignment vertical="center" wrapText="1"/>
    </xf>
    <xf numFmtId="0" fontId="2" fillId="0" borderId="0" xfId="1" applyFont="1" applyAlignment="1">
      <alignment vertical="center" wrapText="1"/>
    </xf>
    <xf numFmtId="0" fontId="28" fillId="2" borderId="0" xfId="1" applyFont="1" applyFill="1"/>
    <xf numFmtId="0" fontId="22" fillId="0" borderId="42" xfId="1" applyFont="1" applyBorder="1" applyAlignment="1">
      <alignment horizontal="center" vertical="center"/>
    </xf>
    <xf numFmtId="0" fontId="3" fillId="0" borderId="43" xfId="1" applyFont="1" applyBorder="1" applyAlignment="1">
      <alignment horizontal="center" vertical="center" wrapText="1"/>
    </xf>
    <xf numFmtId="0" fontId="3" fillId="0" borderId="44" xfId="1" applyFont="1" applyBorder="1" applyAlignment="1">
      <alignment horizontal="center" vertical="center" wrapText="1"/>
    </xf>
    <xf numFmtId="0" fontId="3" fillId="0" borderId="45" xfId="1" applyFont="1" applyBorder="1" applyAlignment="1">
      <alignment horizontal="center" vertical="center" wrapText="1"/>
    </xf>
    <xf numFmtId="0" fontId="22" fillId="0" borderId="47" xfId="1" applyFont="1" applyBorder="1" applyAlignment="1">
      <alignment horizontal="center" vertical="center" wrapText="1"/>
    </xf>
    <xf numFmtId="0" fontId="22" fillId="0" borderId="5" xfId="1" applyFont="1" applyBorder="1"/>
    <xf numFmtId="0" fontId="29" fillId="0" borderId="5" xfId="1" applyFont="1" applyBorder="1" applyAlignment="1">
      <alignment horizontal="center" vertical="center"/>
    </xf>
    <xf numFmtId="0" fontId="29" fillId="0" borderId="48" xfId="1" applyFont="1" applyBorder="1" applyAlignment="1">
      <alignment horizontal="center" vertical="center"/>
    </xf>
    <xf numFmtId="0" fontId="22" fillId="0" borderId="49" xfId="1" applyFont="1" applyBorder="1" applyAlignment="1">
      <alignment horizontal="center" vertical="center"/>
    </xf>
    <xf numFmtId="0" fontId="22" fillId="0" borderId="50" xfId="1" applyFont="1" applyBorder="1" applyAlignment="1">
      <alignment horizontal="center" vertical="center"/>
    </xf>
    <xf numFmtId="0" fontId="22" fillId="0" borderId="51" xfId="1" applyFont="1" applyBorder="1" applyAlignment="1">
      <alignment horizontal="center" vertical="center"/>
    </xf>
    <xf numFmtId="0" fontId="25" fillId="0" borderId="4" xfId="1" applyFont="1" applyBorder="1" applyAlignment="1">
      <alignment horizontal="left" vertical="center"/>
    </xf>
    <xf numFmtId="164" fontId="2" fillId="0" borderId="0" xfId="1" applyNumberFormat="1" applyFont="1" applyAlignment="1">
      <alignment horizontal="center" vertical="center"/>
    </xf>
    <xf numFmtId="0" fontId="30" fillId="0" borderId="0" xfId="1" applyFont="1" applyAlignment="1">
      <alignment horizontal="center" vertical="center"/>
    </xf>
    <xf numFmtId="164" fontId="30" fillId="0" borderId="0" xfId="1" applyNumberFormat="1" applyFont="1" applyAlignment="1">
      <alignment horizontal="center" vertical="center"/>
    </xf>
    <xf numFmtId="0" fontId="22" fillId="15" borderId="5" xfId="1" applyFont="1" applyFill="1" applyBorder="1"/>
    <xf numFmtId="164" fontId="28" fillId="3" borderId="5" xfId="1" applyNumberFormat="1" applyFont="1" applyFill="1" applyBorder="1" applyAlignment="1">
      <alignment horizontal="center" vertical="center"/>
    </xf>
    <xf numFmtId="164" fontId="28" fillId="3" borderId="48" xfId="1" applyNumberFormat="1" applyFont="1" applyFill="1" applyBorder="1" applyAlignment="1">
      <alignment horizontal="center" vertical="center"/>
    </xf>
    <xf numFmtId="164" fontId="22" fillId="3" borderId="49" xfId="1" applyNumberFormat="1" applyFont="1" applyFill="1" applyBorder="1" applyAlignment="1">
      <alignment horizontal="center" vertical="center"/>
    </xf>
    <xf numFmtId="164" fontId="22" fillId="3" borderId="50" xfId="1" applyNumberFormat="1" applyFont="1" applyFill="1" applyBorder="1" applyAlignment="1">
      <alignment horizontal="center" vertical="center"/>
    </xf>
    <xf numFmtId="164" fontId="25" fillId="3" borderId="4" xfId="1" applyNumberFormat="1" applyFont="1" applyFill="1" applyBorder="1" applyAlignment="1">
      <alignment horizontal="left" vertical="center"/>
    </xf>
    <xf numFmtId="0" fontId="2" fillId="0" borderId="0" xfId="1" applyFont="1" applyAlignment="1">
      <alignment vertical="center"/>
    </xf>
    <xf numFmtId="164" fontId="25" fillId="3" borderId="4" xfId="1" applyNumberFormat="1" applyFont="1" applyFill="1" applyBorder="1" applyAlignment="1">
      <alignment horizontal="left" vertical="center" wrapText="1"/>
    </xf>
    <xf numFmtId="0" fontId="25" fillId="0" borderId="5" xfId="1" applyFont="1" applyBorder="1" applyAlignment="1">
      <alignment horizontal="center" vertical="center"/>
    </xf>
    <xf numFmtId="0" fontId="25" fillId="0" borderId="48" xfId="1" applyFont="1" applyBorder="1" applyAlignment="1">
      <alignment horizontal="center" vertical="center"/>
    </xf>
    <xf numFmtId="16" fontId="22" fillId="0" borderId="51" xfId="1" applyNumberFormat="1" applyFont="1" applyBorder="1" applyAlignment="1">
      <alignment horizontal="center" vertical="center"/>
    </xf>
    <xf numFmtId="164" fontId="25" fillId="3" borderId="5" xfId="1" applyNumberFormat="1" applyFont="1" applyFill="1" applyBorder="1" applyAlignment="1">
      <alignment horizontal="center" vertical="center"/>
    </xf>
    <xf numFmtId="164" fontId="25" fillId="3" borderId="48" xfId="1" applyNumberFormat="1" applyFont="1" applyFill="1" applyBorder="1" applyAlignment="1">
      <alignment horizontal="center" vertical="center"/>
    </xf>
    <xf numFmtId="164" fontId="31" fillId="3" borderId="4" xfId="1" applyNumberFormat="1" applyFont="1" applyFill="1" applyBorder="1" applyAlignment="1">
      <alignment horizontal="left" vertical="center"/>
    </xf>
    <xf numFmtId="164" fontId="32" fillId="0" borderId="0" xfId="1" applyNumberFormat="1" applyFont="1" applyAlignment="1">
      <alignment vertical="center"/>
    </xf>
    <xf numFmtId="0" fontId="27" fillId="3" borderId="0" xfId="1" applyFont="1" applyFill="1"/>
    <xf numFmtId="164" fontId="25" fillId="0" borderId="5" xfId="1" applyNumberFormat="1" applyFont="1" applyBorder="1" applyAlignment="1">
      <alignment horizontal="center" vertical="center"/>
    </xf>
    <xf numFmtId="164" fontId="25" fillId="0" borderId="48" xfId="1" applyNumberFormat="1" applyFont="1" applyBorder="1" applyAlignment="1">
      <alignment horizontal="center" vertical="center"/>
    </xf>
    <xf numFmtId="164" fontId="22" fillId="0" borderId="49" xfId="1" applyNumberFormat="1" applyFont="1" applyBorder="1" applyAlignment="1">
      <alignment horizontal="center" vertical="center"/>
    </xf>
    <xf numFmtId="164" fontId="22" fillId="0" borderId="50" xfId="1" applyNumberFormat="1" applyFont="1" applyBorder="1" applyAlignment="1">
      <alignment horizontal="center" vertical="center"/>
    </xf>
    <xf numFmtId="164" fontId="22" fillId="0" borderId="51" xfId="1" applyNumberFormat="1" applyFont="1" applyBorder="1" applyAlignment="1">
      <alignment horizontal="center" vertical="center"/>
    </xf>
    <xf numFmtId="164" fontId="25" fillId="0" borderId="4" xfId="1" applyNumberFormat="1" applyFont="1" applyBorder="1" applyAlignment="1">
      <alignment horizontal="left" vertical="center"/>
    </xf>
    <xf numFmtId="164" fontId="25" fillId="15" borderId="5" xfId="1" applyNumberFormat="1" applyFont="1" applyFill="1" applyBorder="1" applyAlignment="1">
      <alignment horizontal="center" vertical="center"/>
    </xf>
    <xf numFmtId="164" fontId="25" fillId="15" borderId="48" xfId="1" applyNumberFormat="1" applyFont="1" applyFill="1" applyBorder="1" applyAlignment="1">
      <alignment horizontal="center" vertical="center"/>
    </xf>
    <xf numFmtId="164" fontId="33" fillId="0" borderId="0" xfId="1" applyNumberFormat="1" applyFont="1" applyAlignment="1">
      <alignment vertical="center"/>
    </xf>
    <xf numFmtId="164" fontId="22" fillId="0" borderId="49" xfId="0" applyNumberFormat="1" applyFont="1" applyBorder="1" applyAlignment="1">
      <alignment horizontal="center" vertical="center"/>
    </xf>
    <xf numFmtId="164" fontId="22" fillId="0" borderId="50" xfId="0" applyNumberFormat="1" applyFont="1" applyBorder="1" applyAlignment="1">
      <alignment horizontal="center" vertical="center"/>
    </xf>
    <xf numFmtId="164" fontId="22" fillId="0" borderId="51" xfId="0" applyNumberFormat="1" applyFont="1" applyBorder="1" applyAlignment="1">
      <alignment horizontal="center" vertical="center"/>
    </xf>
    <xf numFmtId="0" fontId="22" fillId="3" borderId="5" xfId="1" applyFont="1" applyFill="1" applyBorder="1" applyAlignment="1">
      <alignment wrapText="1"/>
    </xf>
    <xf numFmtId="0" fontId="22" fillId="0" borderId="6" xfId="1" applyFont="1" applyBorder="1"/>
    <xf numFmtId="164" fontId="25" fillId="0" borderId="7" xfId="1" applyNumberFormat="1" applyFont="1" applyBorder="1" applyAlignment="1">
      <alignment horizontal="center" vertical="center"/>
    </xf>
    <xf numFmtId="164" fontId="25" fillId="0" borderId="52" xfId="1" applyNumberFormat="1" applyFont="1" applyBorder="1" applyAlignment="1">
      <alignment horizontal="center" vertical="center"/>
    </xf>
    <xf numFmtId="164" fontId="22" fillId="0" borderId="53" xfId="1" applyNumberFormat="1" applyFont="1" applyBorder="1" applyAlignment="1">
      <alignment horizontal="center" vertical="center"/>
    </xf>
    <xf numFmtId="164" fontId="22" fillId="0" borderId="54" xfId="1" applyNumberFormat="1" applyFont="1" applyBorder="1" applyAlignment="1">
      <alignment horizontal="center" vertical="center"/>
    </xf>
    <xf numFmtId="164" fontId="22" fillId="0" borderId="55" xfId="1" applyNumberFormat="1" applyFont="1" applyBorder="1" applyAlignment="1">
      <alignment horizontal="center" vertical="center"/>
    </xf>
    <xf numFmtId="164" fontId="25" fillId="0" borderId="8" xfId="1" applyNumberFormat="1" applyFont="1" applyBorder="1" applyAlignment="1">
      <alignment horizontal="left" vertical="center"/>
    </xf>
    <xf numFmtId="0" fontId="28" fillId="0" borderId="5" xfId="1" applyFont="1" applyBorder="1" applyAlignment="1">
      <alignment wrapText="1"/>
    </xf>
    <xf numFmtId="0" fontId="25" fillId="0" borderId="0" xfId="1" applyFont="1" applyAlignment="1">
      <alignment horizontal="center" wrapText="1"/>
    </xf>
    <xf numFmtId="0" fontId="34" fillId="0" borderId="0" xfId="1" applyFont="1" applyAlignment="1">
      <alignment horizontal="center" wrapText="1"/>
    </xf>
    <xf numFmtId="0" fontId="28" fillId="0" borderId="0" xfId="1" applyFont="1" applyAlignment="1">
      <alignment horizontal="left" wrapText="1"/>
    </xf>
    <xf numFmtId="0" fontId="30" fillId="0" borderId="0" xfId="1" applyFont="1" applyAlignment="1">
      <alignment wrapText="1"/>
    </xf>
    <xf numFmtId="0" fontId="34" fillId="2" borderId="1" xfId="1" applyFont="1" applyFill="1" applyBorder="1"/>
    <xf numFmtId="0" fontId="34" fillId="2" borderId="0" xfId="1" applyFont="1" applyFill="1" applyAlignment="1">
      <alignment horizontal="center" vertical="center"/>
    </xf>
    <xf numFmtId="0" fontId="28" fillId="2" borderId="0" xfId="1" applyFont="1" applyFill="1" applyAlignment="1">
      <alignment horizontal="left" vertical="center"/>
    </xf>
    <xf numFmtId="164" fontId="28" fillId="2" borderId="0" xfId="1" applyNumberFormat="1" applyFont="1" applyFill="1" applyAlignment="1">
      <alignment horizontal="center" vertical="center"/>
    </xf>
    <xf numFmtId="0" fontId="28" fillId="2" borderId="0" xfId="1" applyFont="1" applyFill="1" applyAlignment="1">
      <alignment vertical="center"/>
    </xf>
    <xf numFmtId="0" fontId="27" fillId="2" borderId="0" xfId="1" applyFont="1" applyFill="1" applyAlignment="1">
      <alignment vertical="center"/>
    </xf>
    <xf numFmtId="0" fontId="22" fillId="2" borderId="2" xfId="1" applyFont="1" applyFill="1" applyBorder="1"/>
    <xf numFmtId="0" fontId="3" fillId="3" borderId="0" xfId="1" applyFont="1" applyFill="1" applyAlignment="1">
      <alignment horizontal="center" vertical="center" wrapText="1"/>
    </xf>
    <xf numFmtId="0" fontId="22" fillId="3" borderId="4" xfId="1" applyFont="1" applyFill="1" applyBorder="1" applyAlignment="1">
      <alignment horizontal="center" vertical="center" wrapText="1"/>
    </xf>
    <xf numFmtId="0" fontId="22" fillId="3" borderId="5" xfId="1" applyFont="1" applyFill="1" applyBorder="1" applyAlignment="1">
      <alignment horizontal="left" vertical="center"/>
    </xf>
    <xf numFmtId="164" fontId="25" fillId="3" borderId="49" xfId="1" applyNumberFormat="1" applyFont="1" applyFill="1" applyBorder="1" applyAlignment="1">
      <alignment horizontal="center" vertical="center"/>
    </xf>
    <xf numFmtId="164" fontId="25" fillId="3" borderId="51" xfId="1" applyNumberFormat="1" applyFont="1" applyFill="1" applyBorder="1" applyAlignment="1">
      <alignment horizontal="center" vertical="center"/>
    </xf>
    <xf numFmtId="0" fontId="36" fillId="3" borderId="56" xfId="1" applyFont="1" applyFill="1" applyBorder="1" applyAlignment="1">
      <alignment horizontal="center" vertical="center" wrapText="1"/>
    </xf>
    <xf numFmtId="0" fontId="5" fillId="16" borderId="5" xfId="1" applyFont="1" applyFill="1" applyBorder="1" applyAlignment="1">
      <alignment wrapText="1"/>
    </xf>
    <xf numFmtId="164" fontId="3" fillId="16" borderId="0" xfId="1" applyNumberFormat="1" applyFont="1" applyFill="1" applyAlignment="1">
      <alignment horizontal="center" vertical="center"/>
    </xf>
    <xf numFmtId="164" fontId="3" fillId="16" borderId="34" xfId="1" applyNumberFormat="1" applyFont="1" applyFill="1" applyBorder="1" applyAlignment="1">
      <alignment horizontal="center" vertical="center"/>
    </xf>
    <xf numFmtId="164" fontId="3" fillId="16" borderId="3" xfId="1" applyNumberFormat="1" applyFont="1" applyFill="1" applyBorder="1" applyAlignment="1">
      <alignment horizontal="center" vertical="center"/>
    </xf>
    <xf numFmtId="164" fontId="3" fillId="16" borderId="1" xfId="1" applyNumberFormat="1" applyFont="1" applyFill="1" applyBorder="1" applyAlignment="1">
      <alignment horizontal="center" vertical="center"/>
    </xf>
    <xf numFmtId="0" fontId="3" fillId="16" borderId="0" xfId="1" applyFont="1" applyFill="1" applyAlignment="1">
      <alignment horizontal="center" vertical="center"/>
    </xf>
    <xf numFmtId="0" fontId="3" fillId="16" borderId="4" xfId="1" applyFont="1" applyFill="1" applyBorder="1" applyAlignment="1">
      <alignment horizontal="center" vertical="center"/>
    </xf>
    <xf numFmtId="0" fontId="5" fillId="16" borderId="0" xfId="1" applyFont="1" applyFill="1"/>
    <xf numFmtId="0" fontId="5" fillId="16" borderId="5" xfId="1" applyFont="1" applyFill="1" applyBorder="1" applyAlignment="1">
      <alignment vertical="center"/>
    </xf>
    <xf numFmtId="164" fontId="3" fillId="16" borderId="0" xfId="1" applyNumberFormat="1" applyFont="1" applyFill="1" applyAlignment="1">
      <alignment horizontal="center" vertical="center" wrapText="1"/>
    </xf>
    <xf numFmtId="0" fontId="3" fillId="16" borderId="3" xfId="1" applyFont="1" applyFill="1" applyBorder="1" applyAlignment="1">
      <alignment horizontal="center" vertical="center"/>
    </xf>
    <xf numFmtId="0" fontId="5" fillId="18" borderId="0" xfId="1" applyFont="1" applyFill="1"/>
    <xf numFmtId="0" fontId="13" fillId="16" borderId="5" xfId="1" applyFont="1" applyFill="1" applyBorder="1"/>
    <xf numFmtId="164" fontId="3" fillId="16" borderId="35" xfId="1" applyNumberFormat="1" applyFont="1" applyFill="1" applyBorder="1" applyAlignment="1">
      <alignment horizontal="center" vertical="center"/>
    </xf>
    <xf numFmtId="0" fontId="17" fillId="16" borderId="0" xfId="1" applyFont="1" applyFill="1"/>
    <xf numFmtId="0" fontId="3" fillId="19" borderId="3" xfId="1" applyFont="1" applyFill="1" applyBorder="1" applyAlignment="1">
      <alignment horizontal="center" vertical="center"/>
    </xf>
    <xf numFmtId="164" fontId="3" fillId="19" borderId="0" xfId="1" applyNumberFormat="1" applyFont="1" applyFill="1" applyAlignment="1">
      <alignment horizontal="center" vertical="center"/>
    </xf>
    <xf numFmtId="0" fontId="3" fillId="19" borderId="0" xfId="1" applyFont="1" applyFill="1" applyAlignment="1">
      <alignment horizontal="center" vertical="center"/>
    </xf>
    <xf numFmtId="164" fontId="3" fillId="19" borderId="1" xfId="1" applyNumberFormat="1" applyFont="1" applyFill="1" applyBorder="1" applyAlignment="1">
      <alignment horizontal="center" vertical="center"/>
    </xf>
    <xf numFmtId="164" fontId="16" fillId="16" borderId="0" xfId="1" applyNumberFormat="1" applyFont="1" applyFill="1" applyAlignment="1">
      <alignment horizontal="center" vertical="center"/>
    </xf>
    <xf numFmtId="164" fontId="35" fillId="16" borderId="0" xfId="1" applyNumberFormat="1" applyFont="1" applyFill="1" applyAlignment="1">
      <alignment horizontal="center" vertical="center"/>
    </xf>
    <xf numFmtId="0" fontId="5" fillId="16" borderId="5" xfId="1" applyFont="1" applyFill="1" applyBorder="1"/>
    <xf numFmtId="0" fontId="3" fillId="2" borderId="0" xfId="1" applyFont="1" applyFill="1" applyAlignment="1">
      <alignment vertical="center" wrapText="1"/>
    </xf>
    <xf numFmtId="0" fontId="6" fillId="0" borderId="0" xfId="1" applyFont="1" applyAlignment="1">
      <alignment vertical="center" wrapText="1"/>
    </xf>
    <xf numFmtId="0" fontId="6" fillId="2" borderId="0" xfId="1" applyFont="1" applyFill="1" applyAlignment="1">
      <alignment vertical="center" wrapText="1"/>
    </xf>
    <xf numFmtId="0" fontId="11" fillId="2" borderId="0" xfId="1" applyFont="1" applyFill="1" applyAlignment="1">
      <alignment horizontal="center" vertical="center"/>
    </xf>
    <xf numFmtId="0" fontId="5" fillId="0" borderId="5" xfId="1" applyFont="1" applyBorder="1" applyAlignment="1">
      <alignment vertical="center"/>
    </xf>
    <xf numFmtId="0" fontId="5" fillId="2" borderId="0" xfId="1" applyFont="1" applyFill="1" applyAlignment="1">
      <alignment vertical="center"/>
    </xf>
    <xf numFmtId="0" fontId="6" fillId="0" borderId="0" xfId="1" applyFont="1" applyAlignment="1">
      <alignment vertical="center"/>
    </xf>
    <xf numFmtId="0" fontId="6" fillId="0" borderId="5" xfId="1" applyFont="1" applyBorder="1" applyAlignment="1">
      <alignment vertical="center" wrapText="1"/>
    </xf>
    <xf numFmtId="0" fontId="3" fillId="0" borderId="0" xfId="1" applyFont="1" applyAlignment="1">
      <alignment horizontal="center" vertical="center" wrapText="1"/>
    </xf>
    <xf numFmtId="0" fontId="6" fillId="0" borderId="0" xfId="1" applyFont="1" applyAlignment="1">
      <alignment horizontal="center" vertical="center" wrapText="1"/>
    </xf>
    <xf numFmtId="0" fontId="6" fillId="0" borderId="4" xfId="1" applyFont="1" applyBorder="1" applyAlignment="1">
      <alignment vertical="center" wrapText="1"/>
    </xf>
    <xf numFmtId="0" fontId="11" fillId="2" borderId="1" xfId="1" applyFont="1" applyFill="1" applyBorder="1" applyAlignment="1">
      <alignment vertical="center"/>
    </xf>
    <xf numFmtId="0" fontId="5" fillId="2" borderId="2" xfId="1" applyFont="1" applyFill="1" applyBorder="1" applyAlignment="1">
      <alignment vertical="center"/>
    </xf>
    <xf numFmtId="0" fontId="26" fillId="2" borderId="0" xfId="1" applyFont="1" applyFill="1" applyAlignment="1">
      <alignment vertical="center" wrapText="1"/>
    </xf>
    <xf numFmtId="0" fontId="26" fillId="0" borderId="0" xfId="1" applyFont="1" applyAlignment="1">
      <alignment vertical="center" wrapText="1"/>
    </xf>
    <xf numFmtId="0" fontId="26" fillId="0" borderId="0" xfId="1" applyFont="1" applyAlignment="1">
      <alignment vertical="center"/>
    </xf>
    <xf numFmtId="0" fontId="5" fillId="0" borderId="22" xfId="1" applyFont="1" applyBorder="1" applyAlignment="1">
      <alignment horizontal="center" vertical="center" wrapText="1"/>
    </xf>
    <xf numFmtId="164" fontId="6" fillId="0" borderId="0" xfId="1" applyNumberFormat="1" applyFont="1" applyAlignment="1">
      <alignment horizontal="center" vertical="center"/>
    </xf>
    <xf numFmtId="164" fontId="6" fillId="0" borderId="35" xfId="1" applyNumberFormat="1" applyFont="1" applyBorder="1" applyAlignment="1">
      <alignment horizontal="center" vertical="center"/>
    </xf>
    <xf numFmtId="164" fontId="6" fillId="0" borderId="0" xfId="0" applyNumberFormat="1" applyFont="1" applyAlignment="1">
      <alignment horizontal="center" vertical="center"/>
    </xf>
    <xf numFmtId="0" fontId="6" fillId="0" borderId="35" xfId="1" applyFont="1" applyBorder="1" applyAlignment="1">
      <alignment horizontal="center" vertical="center"/>
    </xf>
    <xf numFmtId="0" fontId="5" fillId="2" borderId="5" xfId="1" applyFont="1" applyFill="1" applyBorder="1" applyAlignment="1">
      <alignment vertical="center" wrapText="1"/>
    </xf>
    <xf numFmtId="0" fontId="5" fillId="0" borderId="5" xfId="1" applyFont="1" applyBorder="1" applyAlignment="1">
      <alignment vertical="center" wrapText="1"/>
    </xf>
    <xf numFmtId="164" fontId="3" fillId="2" borderId="34" xfId="1" applyNumberFormat="1" applyFont="1" applyFill="1" applyBorder="1" applyAlignment="1">
      <alignment horizontal="center" vertical="center"/>
    </xf>
    <xf numFmtId="49" fontId="3" fillId="2" borderId="35" xfId="1" applyNumberFormat="1" applyFont="1" applyFill="1" applyBorder="1" applyAlignment="1">
      <alignment horizontal="center" vertical="center"/>
    </xf>
    <xf numFmtId="164" fontId="10" fillId="0" borderId="0" xfId="1" applyNumberFormat="1" applyFont="1" applyAlignment="1">
      <alignment horizontal="center" vertical="center"/>
    </xf>
    <xf numFmtId="164" fontId="10" fillId="0" borderId="1" xfId="1" applyNumberFormat="1" applyFont="1" applyBorder="1" applyAlignment="1">
      <alignment horizontal="center" vertical="center"/>
    </xf>
    <xf numFmtId="164" fontId="12" fillId="0" borderId="0" xfId="1" applyNumberFormat="1" applyFont="1" applyAlignment="1">
      <alignment horizontal="center" vertical="center"/>
    </xf>
    <xf numFmtId="164" fontId="12" fillId="0" borderId="1" xfId="1" applyNumberFormat="1" applyFont="1" applyBorder="1" applyAlignment="1">
      <alignment horizontal="center" vertical="center"/>
    </xf>
    <xf numFmtId="164" fontId="12" fillId="2" borderId="1" xfId="1" applyNumberFormat="1" applyFont="1" applyFill="1" applyBorder="1" applyAlignment="1">
      <alignment horizontal="center" vertical="center"/>
    </xf>
    <xf numFmtId="0" fontId="43" fillId="0" borderId="0" xfId="1" applyFont="1" applyAlignment="1">
      <alignment vertical="center" wrapText="1"/>
    </xf>
    <xf numFmtId="164" fontId="43" fillId="2" borderId="0" xfId="1" applyNumberFormat="1" applyFont="1" applyFill="1" applyAlignment="1">
      <alignment horizontal="center" vertical="center"/>
    </xf>
    <xf numFmtId="0" fontId="5" fillId="20" borderId="58" xfId="1" applyFont="1" applyFill="1" applyBorder="1" applyAlignment="1">
      <alignment vertical="center" wrapText="1"/>
    </xf>
    <xf numFmtId="0" fontId="38" fillId="0" borderId="29" xfId="1" applyFont="1" applyBorder="1" applyAlignment="1">
      <alignment horizontal="center" vertical="center" wrapText="1"/>
    </xf>
    <xf numFmtId="0" fontId="38" fillId="0" borderId="29" xfId="1" applyFont="1" applyBorder="1" applyAlignment="1">
      <alignment horizontal="center" vertical="center"/>
    </xf>
    <xf numFmtId="0" fontId="5" fillId="0" borderId="59" xfId="1" applyFont="1" applyBorder="1" applyAlignment="1">
      <alignment horizontal="center" vertical="center"/>
    </xf>
    <xf numFmtId="0" fontId="3" fillId="0" borderId="28" xfId="1" applyFont="1" applyBorder="1" applyAlignment="1">
      <alignment horizontal="center" vertical="center"/>
    </xf>
    <xf numFmtId="0" fontId="3" fillId="0" borderId="60" xfId="1" applyFont="1" applyBorder="1" applyAlignment="1">
      <alignment horizontal="center" vertical="center"/>
    </xf>
    <xf numFmtId="164" fontId="10" fillId="0" borderId="31" xfId="1" applyNumberFormat="1" applyFont="1" applyBorder="1" applyAlignment="1">
      <alignment vertical="center"/>
    </xf>
    <xf numFmtId="0" fontId="5" fillId="0" borderId="31" xfId="1" applyFont="1" applyBorder="1" applyAlignment="1">
      <alignment horizontal="center" vertical="center"/>
    </xf>
    <xf numFmtId="0" fontId="5" fillId="0" borderId="61" xfId="1" applyFont="1" applyBorder="1" applyAlignment="1">
      <alignment horizontal="center" vertical="center"/>
    </xf>
    <xf numFmtId="0" fontId="26" fillId="20" borderId="58" xfId="1" applyFont="1" applyFill="1" applyBorder="1" applyAlignment="1">
      <alignment vertical="center" wrapText="1"/>
    </xf>
    <xf numFmtId="0" fontId="26" fillId="20" borderId="58" xfId="1" applyFont="1" applyFill="1" applyBorder="1" applyAlignment="1">
      <alignment vertical="center"/>
    </xf>
    <xf numFmtId="164" fontId="3" fillId="20" borderId="58" xfId="1" applyNumberFormat="1" applyFont="1" applyFill="1" applyBorder="1" applyAlignment="1">
      <alignment horizontal="center" vertical="center"/>
    </xf>
    <xf numFmtId="164" fontId="6" fillId="20" borderId="58" xfId="1" applyNumberFormat="1" applyFont="1" applyFill="1" applyBorder="1" applyAlignment="1">
      <alignment horizontal="center" vertical="center"/>
    </xf>
    <xf numFmtId="164" fontId="10" fillId="20" borderId="58" xfId="1" applyNumberFormat="1" applyFont="1" applyFill="1" applyBorder="1" applyAlignment="1">
      <alignment horizontal="center" vertical="center"/>
    </xf>
    <xf numFmtId="0" fontId="3" fillId="20" borderId="58" xfId="1" applyFont="1" applyFill="1" applyBorder="1" applyAlignment="1">
      <alignment horizontal="center" vertical="center"/>
    </xf>
    <xf numFmtId="0" fontId="6" fillId="20" borderId="58" xfId="1" applyFont="1" applyFill="1" applyBorder="1" applyAlignment="1">
      <alignment vertical="center"/>
    </xf>
    <xf numFmtId="0" fontId="5" fillId="21" borderId="58" xfId="1" applyFont="1" applyFill="1" applyBorder="1" applyAlignment="1">
      <alignment vertical="center" wrapText="1"/>
    </xf>
    <xf numFmtId="0" fontId="26" fillId="21" borderId="58" xfId="1" applyFont="1" applyFill="1" applyBorder="1" applyAlignment="1">
      <alignment vertical="center" wrapText="1"/>
    </xf>
    <xf numFmtId="0" fontId="26" fillId="21" borderId="58" xfId="1" applyFont="1" applyFill="1" applyBorder="1" applyAlignment="1">
      <alignment vertical="center"/>
    </xf>
    <xf numFmtId="164" fontId="3" fillId="21" borderId="58" xfId="1" applyNumberFormat="1" applyFont="1" applyFill="1" applyBorder="1" applyAlignment="1">
      <alignment horizontal="center" vertical="center"/>
    </xf>
    <xf numFmtId="164" fontId="10" fillId="21" borderId="58" xfId="1" applyNumberFormat="1" applyFont="1" applyFill="1" applyBorder="1" applyAlignment="1">
      <alignment horizontal="center" vertical="center"/>
    </xf>
    <xf numFmtId="0" fontId="3" fillId="21" borderId="58" xfId="1" applyFont="1" applyFill="1" applyBorder="1" applyAlignment="1">
      <alignment horizontal="center" vertical="center"/>
    </xf>
    <xf numFmtId="0" fontId="6" fillId="21" borderId="58" xfId="1" applyFont="1" applyFill="1" applyBorder="1" applyAlignment="1">
      <alignment vertical="center"/>
    </xf>
    <xf numFmtId="0" fontId="5" fillId="10" borderId="58" xfId="1" applyFont="1" applyFill="1" applyBorder="1" applyAlignment="1">
      <alignment vertical="center" wrapText="1"/>
    </xf>
    <xf numFmtId="0" fontId="26" fillId="10" borderId="58" xfId="1" applyFont="1" applyFill="1" applyBorder="1" applyAlignment="1">
      <alignment vertical="center" wrapText="1"/>
    </xf>
    <xf numFmtId="0" fontId="26" fillId="10" borderId="58" xfId="1" applyFont="1" applyFill="1" applyBorder="1" applyAlignment="1">
      <alignment vertical="center"/>
    </xf>
    <xf numFmtId="164" fontId="3" fillId="10" borderId="58" xfId="1" applyNumberFormat="1" applyFont="1" applyFill="1" applyBorder="1" applyAlignment="1">
      <alignment horizontal="center" vertical="center"/>
    </xf>
    <xf numFmtId="164" fontId="12" fillId="10" borderId="58" xfId="1" applyNumberFormat="1" applyFont="1" applyFill="1" applyBorder="1" applyAlignment="1">
      <alignment horizontal="center" vertical="center"/>
    </xf>
    <xf numFmtId="0" fontId="3" fillId="10" borderId="58" xfId="1" applyFont="1" applyFill="1" applyBorder="1" applyAlignment="1">
      <alignment horizontal="center" vertical="center"/>
    </xf>
    <xf numFmtId="0" fontId="3" fillId="10" borderId="58" xfId="1" applyFont="1" applyFill="1" applyBorder="1" applyAlignment="1">
      <alignment vertical="center"/>
    </xf>
    <xf numFmtId="0" fontId="3" fillId="22" borderId="58" xfId="0" applyFont="1" applyFill="1" applyBorder="1" applyAlignment="1">
      <alignment horizontal="center" vertical="center"/>
    </xf>
    <xf numFmtId="164" fontId="12" fillId="21" borderId="58" xfId="1" applyNumberFormat="1" applyFont="1" applyFill="1" applyBorder="1" applyAlignment="1">
      <alignment horizontal="center" vertical="center"/>
    </xf>
    <xf numFmtId="0" fontId="3" fillId="21" borderId="58" xfId="1" applyFont="1" applyFill="1" applyBorder="1" applyAlignment="1">
      <alignment vertical="center"/>
    </xf>
    <xf numFmtId="0" fontId="13" fillId="23" borderId="58" xfId="1" applyFont="1" applyFill="1" applyBorder="1" applyAlignment="1">
      <alignment vertical="center" wrapText="1"/>
    </xf>
    <xf numFmtId="0" fontId="39" fillId="23" borderId="58" xfId="1" applyFont="1" applyFill="1" applyBorder="1" applyAlignment="1">
      <alignment vertical="center" wrapText="1"/>
    </xf>
    <xf numFmtId="0" fontId="39" fillId="23" borderId="58" xfId="1" applyFont="1" applyFill="1" applyBorder="1" applyAlignment="1">
      <alignment vertical="center"/>
    </xf>
    <xf numFmtId="164" fontId="3" fillId="23" borderId="58" xfId="1" applyNumberFormat="1" applyFont="1" applyFill="1" applyBorder="1" applyAlignment="1">
      <alignment horizontal="center" vertical="center"/>
    </xf>
    <xf numFmtId="164" fontId="10" fillId="23" borderId="58" xfId="1" applyNumberFormat="1" applyFont="1" applyFill="1" applyBorder="1" applyAlignment="1">
      <alignment horizontal="center" vertical="center"/>
    </xf>
    <xf numFmtId="0" fontId="3" fillId="23" borderId="58" xfId="1" applyFont="1" applyFill="1" applyBorder="1" applyAlignment="1">
      <alignment horizontal="center" vertical="center"/>
    </xf>
    <xf numFmtId="0" fontId="3" fillId="23" borderId="58" xfId="1" applyFont="1" applyFill="1" applyBorder="1" applyAlignment="1">
      <alignment vertical="center"/>
    </xf>
    <xf numFmtId="164" fontId="12" fillId="20" borderId="58" xfId="1" applyNumberFormat="1" applyFont="1" applyFill="1" applyBorder="1" applyAlignment="1">
      <alignment horizontal="center" vertical="center"/>
    </xf>
    <xf numFmtId="0" fontId="3" fillId="20" borderId="58" xfId="1" applyFont="1" applyFill="1" applyBorder="1" applyAlignment="1">
      <alignment vertical="center"/>
    </xf>
    <xf numFmtId="0" fontId="5" fillId="18" borderId="58" xfId="1" applyFont="1" applyFill="1" applyBorder="1" applyAlignment="1">
      <alignment vertical="center" wrapText="1"/>
    </xf>
    <xf numFmtId="0" fontId="26" fillId="18" borderId="58" xfId="1" applyFont="1" applyFill="1" applyBorder="1" applyAlignment="1">
      <alignment vertical="center" wrapText="1"/>
    </xf>
    <xf numFmtId="164" fontId="3" fillId="18" borderId="58" xfId="1" applyNumberFormat="1" applyFont="1" applyFill="1" applyBorder="1" applyAlignment="1">
      <alignment horizontal="center" vertical="center"/>
    </xf>
    <xf numFmtId="164" fontId="12" fillId="18" borderId="58" xfId="1" applyNumberFormat="1" applyFont="1" applyFill="1" applyBorder="1" applyAlignment="1">
      <alignment horizontal="center" vertical="center"/>
    </xf>
    <xf numFmtId="164" fontId="3" fillId="24" borderId="58" xfId="0" applyNumberFormat="1" applyFont="1" applyFill="1" applyBorder="1" applyAlignment="1">
      <alignment horizontal="center" vertical="center"/>
    </xf>
    <xf numFmtId="0" fontId="3" fillId="18" borderId="58" xfId="1" applyFont="1" applyFill="1" applyBorder="1" applyAlignment="1">
      <alignment horizontal="center" vertical="center"/>
    </xf>
    <xf numFmtId="0" fontId="3" fillId="18" borderId="58" xfId="1" applyFont="1" applyFill="1" applyBorder="1" applyAlignment="1">
      <alignment vertical="center"/>
    </xf>
    <xf numFmtId="0" fontId="5" fillId="23" borderId="58" xfId="1" applyFont="1" applyFill="1" applyBorder="1" applyAlignment="1">
      <alignment vertical="center" wrapText="1"/>
    </xf>
    <xf numFmtId="0" fontId="26" fillId="23" borderId="58" xfId="1" applyFont="1" applyFill="1" applyBorder="1" applyAlignment="1">
      <alignment vertical="center" wrapText="1"/>
    </xf>
    <xf numFmtId="0" fontId="26" fillId="23" borderId="58" xfId="1" applyFont="1" applyFill="1" applyBorder="1" applyAlignment="1">
      <alignment vertical="center"/>
    </xf>
    <xf numFmtId="49" fontId="3" fillId="23" borderId="58" xfId="1" applyNumberFormat="1" applyFont="1" applyFill="1" applyBorder="1" applyAlignment="1">
      <alignment horizontal="center" vertical="center"/>
    </xf>
    <xf numFmtId="164" fontId="12" fillId="23" borderId="58" xfId="1" applyNumberFormat="1" applyFont="1" applyFill="1" applyBorder="1" applyAlignment="1">
      <alignment horizontal="center" vertical="center"/>
    </xf>
    <xf numFmtId="49" fontId="3" fillId="10" borderId="58" xfId="1" applyNumberFormat="1" applyFont="1" applyFill="1" applyBorder="1" applyAlignment="1">
      <alignment horizontal="center" vertical="center"/>
    </xf>
    <xf numFmtId="0" fontId="39" fillId="20" borderId="58" xfId="1" applyFont="1" applyFill="1" applyBorder="1" applyAlignment="1">
      <alignment vertical="center" wrapText="1"/>
    </xf>
    <xf numFmtId="0" fontId="5" fillId="20" borderId="58" xfId="1" applyFont="1" applyFill="1" applyBorder="1" applyAlignment="1">
      <alignment vertical="center"/>
    </xf>
    <xf numFmtId="164" fontId="6" fillId="21" borderId="58" xfId="1" applyNumberFormat="1" applyFont="1" applyFill="1" applyBorder="1" applyAlignment="1">
      <alignment horizontal="center" vertical="center" wrapText="1"/>
    </xf>
    <xf numFmtId="164" fontId="6" fillId="21" borderId="58" xfId="1" applyNumberFormat="1" applyFont="1" applyFill="1" applyBorder="1" applyAlignment="1">
      <alignment horizontal="center" vertical="center"/>
    </xf>
    <xf numFmtId="164" fontId="42" fillId="21" borderId="58" xfId="1" applyNumberFormat="1" applyFont="1" applyFill="1" applyBorder="1" applyAlignment="1">
      <alignment horizontal="center" vertical="center"/>
    </xf>
    <xf numFmtId="0" fontId="5" fillId="21" borderId="58" xfId="1" applyFont="1" applyFill="1" applyBorder="1" applyAlignment="1">
      <alignment vertical="center"/>
    </xf>
    <xf numFmtId="164" fontId="6" fillId="18" borderId="58" xfId="1" applyNumberFormat="1" applyFont="1" applyFill="1" applyBorder="1" applyAlignment="1">
      <alignment horizontal="center" vertical="center"/>
    </xf>
    <xf numFmtId="164" fontId="27" fillId="18" borderId="58" xfId="1" applyNumberFormat="1" applyFont="1" applyFill="1" applyBorder="1" applyAlignment="1">
      <alignment horizontal="center" vertical="center"/>
    </xf>
    <xf numFmtId="0" fontId="5" fillId="18" borderId="58" xfId="1" applyFont="1" applyFill="1" applyBorder="1" applyAlignment="1">
      <alignment vertical="center"/>
    </xf>
    <xf numFmtId="164" fontId="6" fillId="21" borderId="58" xfId="0" applyNumberFormat="1" applyFont="1" applyFill="1" applyBorder="1" applyAlignment="1">
      <alignment horizontal="center" vertical="center"/>
    </xf>
    <xf numFmtId="0" fontId="6" fillId="21" borderId="58" xfId="1" applyFont="1" applyFill="1" applyBorder="1" applyAlignment="1">
      <alignment horizontal="center" vertical="center"/>
    </xf>
    <xf numFmtId="164" fontId="6" fillId="23" borderId="58" xfId="1" applyNumberFormat="1" applyFont="1" applyFill="1" applyBorder="1" applyAlignment="1">
      <alignment horizontal="center" vertical="center"/>
    </xf>
    <xf numFmtId="0" fontId="17" fillId="23" borderId="58" xfId="1" applyFont="1" applyFill="1" applyBorder="1" applyAlignment="1">
      <alignment vertical="center"/>
    </xf>
    <xf numFmtId="0" fontId="13" fillId="20" borderId="58" xfId="1" applyFont="1" applyFill="1" applyBorder="1" applyAlignment="1">
      <alignment vertical="center"/>
    </xf>
    <xf numFmtId="0" fontId="39" fillId="20" borderId="58" xfId="1" applyFont="1" applyFill="1" applyBorder="1" applyAlignment="1">
      <alignment vertical="center"/>
    </xf>
    <xf numFmtId="0" fontId="17" fillId="20" borderId="58" xfId="1" applyFont="1" applyFill="1" applyBorder="1" applyAlignment="1">
      <alignment vertical="center"/>
    </xf>
    <xf numFmtId="0" fontId="45" fillId="25" borderId="0" xfId="1" applyFont="1" applyFill="1" applyAlignment="1">
      <alignment vertical="center"/>
    </xf>
    <xf numFmtId="0" fontId="40" fillId="20" borderId="58" xfId="1" applyFont="1" applyFill="1" applyBorder="1" applyAlignment="1">
      <alignment vertical="center" wrapText="1"/>
    </xf>
    <xf numFmtId="0" fontId="46" fillId="21" borderId="58" xfId="1" applyFont="1" applyFill="1" applyBorder="1" applyAlignment="1">
      <alignment vertical="center" wrapText="1"/>
    </xf>
    <xf numFmtId="0" fontId="47" fillId="18" borderId="58" xfId="1" applyFont="1" applyFill="1" applyBorder="1" applyAlignment="1">
      <alignment vertical="center" wrapText="1"/>
    </xf>
    <xf numFmtId="0" fontId="13" fillId="2" borderId="58" xfId="1" applyFont="1" applyFill="1" applyBorder="1" applyAlignment="1">
      <alignment vertical="center"/>
    </xf>
    <xf numFmtId="0" fontId="40" fillId="2" borderId="58" xfId="1" applyFont="1" applyFill="1" applyBorder="1" applyAlignment="1">
      <alignment vertical="center" wrapText="1"/>
    </xf>
    <xf numFmtId="0" fontId="39" fillId="2" borderId="58" xfId="1" applyFont="1" applyFill="1" applyBorder="1" applyAlignment="1">
      <alignment vertical="center"/>
    </xf>
    <xf numFmtId="164" fontId="3" fillId="2" borderId="58" xfId="1" applyNumberFormat="1" applyFont="1" applyFill="1" applyBorder="1" applyAlignment="1">
      <alignment horizontal="center" vertical="center"/>
    </xf>
    <xf numFmtId="164" fontId="12" fillId="2" borderId="58" xfId="1" applyNumberFormat="1" applyFont="1" applyFill="1" applyBorder="1" applyAlignment="1">
      <alignment horizontal="center" vertical="center"/>
    </xf>
    <xf numFmtId="0" fontId="3" fillId="2" borderId="58" xfId="1" applyFont="1" applyFill="1" applyBorder="1" applyAlignment="1">
      <alignment horizontal="center" vertical="center"/>
    </xf>
    <xf numFmtId="0" fontId="17" fillId="2" borderId="58" xfId="1" applyFont="1" applyFill="1" applyBorder="1" applyAlignment="1">
      <alignment vertical="center"/>
    </xf>
    <xf numFmtId="0" fontId="17" fillId="2" borderId="0" xfId="1" applyFont="1" applyFill="1" applyAlignment="1">
      <alignment vertical="center"/>
    </xf>
    <xf numFmtId="0" fontId="5" fillId="2" borderId="58" xfId="1" applyFont="1" applyFill="1" applyBorder="1" applyAlignment="1">
      <alignment vertical="center" wrapText="1"/>
    </xf>
    <xf numFmtId="0" fontId="26" fillId="2" borderId="58" xfId="1" applyFont="1" applyFill="1" applyBorder="1" applyAlignment="1">
      <alignment vertical="center" wrapText="1"/>
    </xf>
    <xf numFmtId="0" fontId="47" fillId="2" borderId="58" xfId="1" applyFont="1" applyFill="1" applyBorder="1" applyAlignment="1">
      <alignment vertical="center" wrapText="1"/>
    </xf>
    <xf numFmtId="164" fontId="6" fillId="2" borderId="58" xfId="1" applyNumberFormat="1" applyFont="1" applyFill="1" applyBorder="1" applyAlignment="1">
      <alignment horizontal="center" vertical="center"/>
    </xf>
    <xf numFmtId="164" fontId="27" fillId="2" borderId="58" xfId="1" applyNumberFormat="1" applyFont="1" applyFill="1" applyBorder="1" applyAlignment="1">
      <alignment horizontal="center" vertical="center"/>
    </xf>
    <xf numFmtId="0" fontId="5" fillId="2" borderId="58" xfId="1" applyFont="1" applyFill="1" applyBorder="1" applyAlignment="1">
      <alignment vertical="center"/>
    </xf>
    <xf numFmtId="0" fontId="47" fillId="23" borderId="58" xfId="1" applyFont="1" applyFill="1" applyBorder="1" applyAlignment="1">
      <alignment vertical="center" wrapText="1"/>
    </xf>
    <xf numFmtId="0" fontId="48" fillId="23" borderId="58" xfId="1" applyFont="1" applyFill="1" applyBorder="1" applyAlignment="1">
      <alignment vertical="center" wrapText="1"/>
    </xf>
    <xf numFmtId="0" fontId="44" fillId="25" borderId="0" xfId="1" applyFont="1" applyFill="1" applyAlignment="1">
      <alignment horizontal="center" vertical="center"/>
    </xf>
    <xf numFmtId="0" fontId="5" fillId="8" borderId="30" xfId="1" applyFont="1" applyFill="1" applyBorder="1" applyAlignment="1">
      <alignment horizontal="center" vertical="center"/>
    </xf>
    <xf numFmtId="0" fontId="5" fillId="8" borderId="29" xfId="1" applyFont="1" applyFill="1" applyBorder="1" applyAlignment="1">
      <alignment horizontal="center" vertical="center"/>
    </xf>
    <xf numFmtId="164" fontId="9" fillId="5" borderId="11" xfId="1" applyNumberFormat="1" applyFont="1" applyFill="1" applyBorder="1" applyAlignment="1">
      <alignment horizontal="center" vertical="center"/>
    </xf>
    <xf numFmtId="164" fontId="9" fillId="5" borderId="12" xfId="1" applyNumberFormat="1" applyFont="1" applyFill="1" applyBorder="1" applyAlignment="1">
      <alignment horizontal="center" vertical="center"/>
    </xf>
    <xf numFmtId="0" fontId="14" fillId="0" borderId="5" xfId="1" applyFont="1" applyBorder="1" applyAlignment="1">
      <alignment horizontal="left" vertical="center" wrapText="1"/>
    </xf>
    <xf numFmtId="0" fontId="14" fillId="0" borderId="0" xfId="1" applyFont="1" applyAlignment="1">
      <alignment horizontal="left" vertical="center" wrapText="1"/>
    </xf>
    <xf numFmtId="0" fontId="14" fillId="0" borderId="4" xfId="1" applyFont="1" applyBorder="1" applyAlignment="1">
      <alignment horizontal="left" vertical="center" wrapText="1"/>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5" fillId="0" borderId="12" xfId="1" applyFont="1" applyBorder="1" applyAlignment="1">
      <alignment horizontal="center" vertical="center"/>
    </xf>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164" fontId="10" fillId="0" borderId="38" xfId="1" applyNumberFormat="1" applyFont="1" applyBorder="1" applyAlignment="1">
      <alignment horizontal="center" vertical="center"/>
    </xf>
    <xf numFmtId="164" fontId="10" fillId="0" borderId="57" xfId="1" applyNumberFormat="1" applyFont="1" applyBorder="1" applyAlignment="1">
      <alignment horizontal="center" vertical="center"/>
    </xf>
    <xf numFmtId="0" fontId="3" fillId="10" borderId="58" xfId="1" applyFont="1" applyFill="1" applyBorder="1" applyAlignment="1">
      <alignment horizontal="center" vertical="center"/>
    </xf>
    <xf numFmtId="0" fontId="3" fillId="21" borderId="58" xfId="1" applyFont="1" applyFill="1" applyBorder="1" applyAlignment="1">
      <alignment horizontal="center" vertical="center"/>
    </xf>
    <xf numFmtId="164" fontId="5" fillId="0" borderId="29" xfId="1" applyNumberFormat="1" applyFont="1" applyBorder="1" applyAlignment="1">
      <alignment horizontal="center" vertical="center" wrapText="1"/>
    </xf>
    <xf numFmtId="164" fontId="5" fillId="0" borderId="31" xfId="1" applyNumberFormat="1" applyFont="1" applyBorder="1" applyAlignment="1">
      <alignment horizontal="center" vertical="center" wrapText="1"/>
    </xf>
    <xf numFmtId="164" fontId="5" fillId="0" borderId="28" xfId="1" applyNumberFormat="1" applyFont="1" applyBorder="1" applyAlignment="1">
      <alignment horizontal="center" vertical="center" wrapText="1"/>
    </xf>
    <xf numFmtId="0" fontId="5" fillId="0" borderId="38" xfId="1" applyFont="1" applyBorder="1" applyAlignment="1">
      <alignment horizontal="center" vertical="center" wrapText="1"/>
    </xf>
    <xf numFmtId="164" fontId="5" fillId="0" borderId="19" xfId="1" applyNumberFormat="1" applyFont="1" applyBorder="1" applyAlignment="1">
      <alignment horizontal="center" vertical="center"/>
    </xf>
    <xf numFmtId="164" fontId="5" fillId="0" borderId="18" xfId="1" applyNumberFormat="1" applyFont="1" applyBorder="1" applyAlignment="1">
      <alignment horizontal="center" vertical="center"/>
    </xf>
    <xf numFmtId="164" fontId="5" fillId="0" borderId="15" xfId="1" applyNumberFormat="1" applyFont="1" applyBorder="1" applyAlignment="1">
      <alignment horizontal="center" vertical="center"/>
    </xf>
    <xf numFmtId="0" fontId="5" fillId="0" borderId="15" xfId="1" applyFont="1" applyBorder="1" applyAlignment="1">
      <alignment horizontal="center" vertical="center"/>
    </xf>
    <xf numFmtId="0" fontId="5" fillId="0" borderId="18" xfId="1" applyFont="1" applyBorder="1" applyAlignment="1">
      <alignment horizontal="center" vertical="center"/>
    </xf>
    <xf numFmtId="0" fontId="4" fillId="4" borderId="0" xfId="1" applyFont="1" applyFill="1" applyAlignment="1">
      <alignment horizontal="center" vertical="center"/>
    </xf>
    <xf numFmtId="0" fontId="7" fillId="2" borderId="0" xfId="1" applyFont="1" applyFill="1" applyAlignment="1">
      <alignment horizontal="center"/>
    </xf>
    <xf numFmtId="0" fontId="8" fillId="17" borderId="0" xfId="1" applyFont="1" applyFill="1" applyAlignment="1">
      <alignment horizontal="center"/>
    </xf>
    <xf numFmtId="0" fontId="15" fillId="17" borderId="0" xfId="1" applyFont="1" applyFill="1" applyAlignment="1">
      <alignment horizontal="center"/>
    </xf>
    <xf numFmtId="0" fontId="5" fillId="8" borderId="24" xfId="1" applyFont="1" applyFill="1" applyBorder="1" applyAlignment="1">
      <alignment horizontal="center" vertical="center"/>
    </xf>
    <xf numFmtId="164" fontId="9" fillId="5" borderId="10" xfId="1" applyNumberFormat="1" applyFont="1" applyFill="1" applyBorder="1" applyAlignment="1">
      <alignment horizontal="center" vertical="center"/>
    </xf>
    <xf numFmtId="0" fontId="14" fillId="0" borderId="5" xfId="1" applyFont="1" applyBorder="1" applyAlignment="1">
      <alignment horizontal="left" vertical="top" wrapText="1"/>
    </xf>
    <xf numFmtId="0" fontId="6" fillId="0" borderId="0" xfId="1" applyFont="1" applyAlignment="1">
      <alignment horizontal="left" vertical="top" wrapText="1"/>
    </xf>
    <xf numFmtId="0" fontId="6" fillId="0" borderId="4" xfId="1" applyFont="1" applyBorder="1" applyAlignment="1">
      <alignment horizontal="left" vertical="top" wrapText="1"/>
    </xf>
    <xf numFmtId="164" fontId="12" fillId="10" borderId="0" xfId="1" applyNumberFormat="1" applyFont="1" applyFill="1" applyAlignment="1">
      <alignment horizontal="center" vertical="center"/>
    </xf>
    <xf numFmtId="164" fontId="12" fillId="10" borderId="1" xfId="1" applyNumberFormat="1" applyFont="1" applyFill="1" applyBorder="1" applyAlignment="1">
      <alignment horizontal="center" vertical="center"/>
    </xf>
    <xf numFmtId="164" fontId="12" fillId="18" borderId="0" xfId="1" applyNumberFormat="1" applyFont="1" applyFill="1" applyAlignment="1">
      <alignment horizontal="center" vertical="center"/>
    </xf>
    <xf numFmtId="164" fontId="12" fillId="18" borderId="1" xfId="1" applyNumberFormat="1" applyFont="1" applyFill="1" applyBorder="1" applyAlignment="1">
      <alignment horizontal="center" vertical="center"/>
    </xf>
    <xf numFmtId="0" fontId="3" fillId="10" borderId="3" xfId="1" applyFont="1" applyFill="1" applyBorder="1" applyAlignment="1">
      <alignment horizontal="center" vertical="center"/>
    </xf>
    <xf numFmtId="0" fontId="3" fillId="10" borderId="0" xfId="1" applyFont="1" applyFill="1" applyAlignment="1">
      <alignment horizontal="center" vertical="center"/>
    </xf>
    <xf numFmtId="0" fontId="3" fillId="10" borderId="4" xfId="1" applyFont="1" applyFill="1" applyBorder="1" applyAlignment="1">
      <alignment horizontal="center" vertical="center"/>
    </xf>
    <xf numFmtId="0" fontId="3" fillId="16" borderId="3" xfId="1" applyFont="1" applyFill="1" applyBorder="1" applyAlignment="1">
      <alignment horizontal="center" vertical="center"/>
    </xf>
    <xf numFmtId="0" fontId="3" fillId="16" borderId="0" xfId="1" applyFont="1" applyFill="1" applyAlignment="1">
      <alignment horizontal="center" vertical="center"/>
    </xf>
    <xf numFmtId="0" fontId="3" fillId="16" borderId="4" xfId="1" applyFont="1" applyFill="1" applyBorder="1" applyAlignment="1">
      <alignment horizontal="center" vertical="center"/>
    </xf>
    <xf numFmtId="0" fontId="6" fillId="0" borderId="5" xfId="1" applyFont="1" applyBorder="1" applyAlignment="1">
      <alignment horizontal="left" wrapText="1"/>
    </xf>
    <xf numFmtId="0" fontId="6" fillId="0" borderId="0" xfId="1" applyFont="1" applyAlignment="1">
      <alignment horizontal="left" wrapText="1"/>
    </xf>
    <xf numFmtId="0" fontId="2" fillId="9" borderId="0" xfId="1" applyFont="1" applyFill="1" applyAlignment="1">
      <alignment horizontal="center"/>
    </xf>
    <xf numFmtId="0" fontId="8" fillId="0" borderId="0" xfId="1" applyFont="1" applyAlignment="1">
      <alignment horizontal="center"/>
    </xf>
    <xf numFmtId="0" fontId="9" fillId="5" borderId="15" xfId="1" applyFont="1" applyFill="1" applyBorder="1" applyAlignment="1">
      <alignment horizontal="center" vertical="center"/>
    </xf>
    <xf numFmtId="0" fontId="9" fillId="5" borderId="19" xfId="1" applyFont="1" applyFill="1" applyBorder="1" applyAlignment="1">
      <alignment horizontal="center" vertical="center"/>
    </xf>
    <xf numFmtId="0" fontId="9" fillId="5" borderId="20" xfId="1" applyFont="1" applyFill="1" applyBorder="1" applyAlignment="1">
      <alignment horizontal="center" vertical="center"/>
    </xf>
    <xf numFmtId="0" fontId="5" fillId="0" borderId="21" xfId="1" applyFont="1" applyBorder="1" applyAlignment="1">
      <alignment horizontal="center"/>
    </xf>
    <xf numFmtId="0" fontId="5" fillId="0" borderId="22" xfId="1" applyFont="1" applyBorder="1" applyAlignment="1">
      <alignment horizontal="center"/>
    </xf>
    <xf numFmtId="0" fontId="5" fillId="0" borderId="25" xfId="1" applyFont="1" applyBorder="1" applyAlignment="1">
      <alignment horizontal="center"/>
    </xf>
    <xf numFmtId="0" fontId="18" fillId="13" borderId="0" xfId="1" applyFont="1" applyFill="1" applyAlignment="1">
      <alignment horizontal="center" vertical="center"/>
    </xf>
    <xf numFmtId="0" fontId="21" fillId="2" borderId="0" xfId="1" applyFont="1" applyFill="1" applyAlignment="1">
      <alignment horizontal="center"/>
    </xf>
    <xf numFmtId="0" fontId="22" fillId="0" borderId="0" xfId="1" applyFont="1" applyAlignment="1">
      <alignment horizontal="center"/>
    </xf>
    <xf numFmtId="0" fontId="22" fillId="2" borderId="10" xfId="1" applyFont="1" applyFill="1" applyBorder="1" applyAlignment="1">
      <alignment horizontal="center" vertical="center"/>
    </xf>
    <xf numFmtId="0" fontId="22" fillId="2" borderId="12" xfId="1" applyFont="1" applyFill="1" applyBorder="1" applyAlignment="1">
      <alignment horizontal="center" vertical="center"/>
    </xf>
    <xf numFmtId="0" fontId="3" fillId="0" borderId="45" xfId="1" applyFont="1" applyBorder="1" applyAlignment="1">
      <alignment horizontal="center" vertical="center" wrapText="1"/>
    </xf>
    <xf numFmtId="0" fontId="3" fillId="0" borderId="4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ED0F7"/>
      <color rgb="FFFFBFA2"/>
      <color rgb="FFFF7E79"/>
      <color rgb="FFDAD8D9"/>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74705</xdr:colOff>
      <xdr:row>0</xdr:row>
      <xdr:rowOff>37351</xdr:rowOff>
    </xdr:from>
    <xdr:to>
      <xdr:col>25</xdr:col>
      <xdr:colOff>541616</xdr:colOff>
      <xdr:row>50</xdr:row>
      <xdr:rowOff>104401</xdr:rowOff>
    </xdr:to>
    <xdr:pic>
      <xdr:nvPicPr>
        <xdr:cNvPr id="3" name="Picture 2">
          <a:extLst>
            <a:ext uri="{FF2B5EF4-FFF2-40B4-BE49-F238E27FC236}">
              <a16:creationId xmlns:a16="http://schemas.microsoft.com/office/drawing/2014/main" id="{6F6E7CC0-C913-9852-F113-B636D5D79ADE}"/>
            </a:ext>
          </a:extLst>
        </xdr:cNvPr>
        <xdr:cNvPicPr>
          <a:picLocks noChangeAspect="1"/>
        </xdr:cNvPicPr>
      </xdr:nvPicPr>
      <xdr:blipFill>
        <a:blip xmlns:r="http://schemas.openxmlformats.org/officeDocument/2006/relationships" r:embed="rId1"/>
        <a:stretch>
          <a:fillRect/>
        </a:stretch>
      </xdr:blipFill>
      <xdr:spPr>
        <a:xfrm>
          <a:off x="74705" y="37351"/>
          <a:ext cx="16808823" cy="940528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klic, Lauren (US)" id="{CA35DF20-68E1-3F41-9CC2-E1D43FF90BB4}" userId="lauren.jaklic@us.mcd.com" providerId="PeoplePicker"/>
  <person displayName="Koleno, Isabel (US)" id="{104DA384-CC23-427B-B9FB-DDE89573865F}" userId="S::isabel.koleno@us.mcd.com::909ceed5-b43f-4fda-b04a-96a56c155200" providerId="AD"/>
  <person displayName="Crawford, Luke (US)" id="{47C11DFE-B8C0-1447-9C16-87F4FDD92EB2}" userId="S::luke.crawford@us.mcd.com::e42554ac-2191-480c-9344-355426b2a5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2" dT="2026-01-30T16:43:25.80" personId="{47C11DFE-B8C0-1447-9C16-87F4FDD92EB2}" id="{1CF92567-D080-2E45-89A8-E5CAEED7D323}">
    <text>@Jaklic, Lauren (US) - soft sell is w/o 4/27.. i moved up one day .. idk if it truly matters, but the 27th is the mondya.. it had 28th listed which is a tuesday for soft sell. i know it's a rolling soft sell</text>
    <mentions>
      <mention mentionpersonId="{CA35DF20-68E1-3F41-9CC2-E1D43FF90BB4}" mentionId="{D3BEFD23-C690-8B45-ADE2-A3D45C5AAED6}" startIndex="0" length="20"/>
    </mentions>
  </threadedComment>
  <threadedComment ref="E44" dT="2025-11-06T20:13:49.12" personId="{104DA384-CC23-427B-B9FB-DDE89573865F}" id="{91207844-7CED-44A9-9757-194BE47E1E59}">
    <text>Will need to update this based on contract end date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DC97-CE9B-43FF-957D-9B1E4B3F611B}">
  <dimension ref="A1"/>
  <sheetViews>
    <sheetView zoomScale="68" workbookViewId="0">
      <selection activeCell="V67" sqref="V67"/>
    </sheetView>
  </sheetViews>
  <sheetFormatPr defaultColWidth="8.7109375" defaultRowHeight="14.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15E7-6B19-4B2E-A94B-6610988C1731}">
  <sheetPr>
    <tabColor rgb="FFFFC000"/>
    <pageSetUpPr fitToPage="1"/>
  </sheetPr>
  <dimension ref="A1:V200"/>
  <sheetViews>
    <sheetView zoomScale="82" zoomScaleNormal="82" zoomScaleSheetLayoutView="40" workbookViewId="0">
      <pane xSplit="1" ySplit="7" topLeftCell="B22" activePane="bottomRight" state="frozen"/>
      <selection pane="bottomRight" sqref="A1:XFD1048576"/>
      <selection pane="bottomLeft" activeCell="A11" sqref="A11"/>
      <selection pane="topRight" activeCell="C1" sqref="C1"/>
    </sheetView>
  </sheetViews>
  <sheetFormatPr defaultColWidth="0" defaultRowHeight="19.5" zeroHeight="1"/>
  <cols>
    <col min="1" max="1" width="72.7109375" style="1" customWidth="1"/>
    <col min="2" max="2" width="14.140625" style="3" customWidth="1"/>
    <col min="3" max="3" width="20.42578125" style="24" customWidth="1"/>
    <col min="4" max="5" width="16.42578125" style="24" customWidth="1"/>
    <col min="6" max="9" width="5.42578125" style="25" hidden="1" customWidth="1"/>
    <col min="10" max="11" width="6.42578125" style="25" customWidth="1"/>
    <col min="12" max="12" width="6.7109375" style="25" customWidth="1"/>
    <col min="13" max="13" width="9.7109375" style="25" customWidth="1"/>
    <col min="14" max="14" width="9.140625" style="26" customWidth="1"/>
    <col min="15" max="15" width="15.42578125" style="26" customWidth="1"/>
    <col min="16" max="16" width="9.42578125" style="26" customWidth="1"/>
    <col min="17" max="18" width="15.42578125" style="26" customWidth="1"/>
    <col min="19" max="19" width="13.42578125" style="1" hidden="1" customWidth="1"/>
    <col min="20" max="22" width="10.42578125" style="1" hidden="1" customWidth="1"/>
    <col min="23" max="16384" width="8" style="1" hidden="1"/>
  </cols>
  <sheetData>
    <row r="1" spans="1:18" ht="34.5" customHeight="1">
      <c r="A1" s="400" t="s">
        <v>0</v>
      </c>
      <c r="B1" s="400"/>
      <c r="C1" s="400"/>
      <c r="D1" s="400"/>
      <c r="E1" s="400"/>
      <c r="F1" s="400"/>
      <c r="G1" s="400"/>
      <c r="H1" s="400"/>
      <c r="I1" s="400"/>
      <c r="J1" s="400"/>
      <c r="K1" s="400"/>
      <c r="L1" s="400"/>
      <c r="M1" s="400"/>
      <c r="N1" s="400"/>
      <c r="O1" s="400"/>
      <c r="P1" s="400"/>
      <c r="Q1" s="400"/>
      <c r="R1" s="400"/>
    </row>
    <row r="2" spans="1:18">
      <c r="A2" s="401" t="s">
        <v>1</v>
      </c>
      <c r="B2" s="401"/>
      <c r="C2" s="401"/>
      <c r="D2" s="401"/>
      <c r="E2" s="401"/>
      <c r="F2" s="401"/>
      <c r="G2" s="401"/>
      <c r="H2" s="401"/>
      <c r="I2" s="401"/>
      <c r="J2" s="401"/>
      <c r="K2" s="401"/>
      <c r="L2" s="401"/>
      <c r="M2" s="401"/>
      <c r="N2" s="401"/>
      <c r="O2" s="401"/>
      <c r="P2" s="401"/>
      <c r="Q2" s="401"/>
      <c r="R2" s="401"/>
    </row>
    <row r="3" spans="1:18">
      <c r="A3" s="402" t="s">
        <v>2</v>
      </c>
      <c r="B3" s="403"/>
      <c r="C3" s="403"/>
      <c r="D3" s="403"/>
      <c r="E3" s="403"/>
      <c r="F3" s="403"/>
      <c r="G3" s="403"/>
      <c r="H3" s="403"/>
      <c r="I3" s="403"/>
      <c r="J3" s="403"/>
      <c r="K3" s="403"/>
      <c r="L3" s="403"/>
      <c r="M3" s="403"/>
      <c r="N3" s="403"/>
      <c r="O3" s="403"/>
      <c r="P3" s="403"/>
      <c r="Q3" s="403"/>
      <c r="R3" s="403"/>
    </row>
    <row r="4" spans="1:18" ht="20.100000000000001" thickBot="1">
      <c r="A4" s="2"/>
      <c r="C4" s="3"/>
      <c r="D4" s="3"/>
      <c r="E4" s="3"/>
      <c r="F4" s="4"/>
      <c r="G4" s="4"/>
      <c r="H4" s="4"/>
      <c r="I4" s="4"/>
      <c r="J4" s="4"/>
      <c r="K4" s="4"/>
      <c r="L4" s="4"/>
      <c r="M4" s="4"/>
      <c r="N4" s="5"/>
      <c r="O4" s="5"/>
      <c r="P4" s="5"/>
      <c r="Q4" s="5"/>
      <c r="R4" s="5"/>
    </row>
    <row r="5" spans="1:18" ht="20.100000000000001" thickBot="1">
      <c r="A5" s="2"/>
      <c r="B5" s="375" t="s">
        <v>3</v>
      </c>
      <c r="C5" s="376"/>
      <c r="D5" s="376"/>
      <c r="E5" s="404"/>
      <c r="F5" s="405" t="s">
        <v>4</v>
      </c>
      <c r="G5" s="377"/>
      <c r="H5" s="377"/>
      <c r="I5" s="377"/>
      <c r="J5" s="377"/>
      <c r="K5" s="377"/>
      <c r="L5" s="377"/>
      <c r="M5" s="377"/>
      <c r="N5" s="377"/>
      <c r="O5" s="377"/>
      <c r="P5" s="377"/>
      <c r="Q5" s="377"/>
      <c r="R5" s="378"/>
    </row>
    <row r="6" spans="1:18" ht="100.35" customHeight="1" thickBot="1">
      <c r="A6" s="96" t="s">
        <v>5</v>
      </c>
      <c r="B6" s="104" t="s">
        <v>6</v>
      </c>
      <c r="C6" s="97" t="s">
        <v>7</v>
      </c>
      <c r="D6" s="97" t="s">
        <v>8</v>
      </c>
      <c r="E6" s="105" t="s">
        <v>9</v>
      </c>
      <c r="F6" s="391" t="s">
        <v>10</v>
      </c>
      <c r="G6" s="391"/>
      <c r="H6" s="391"/>
      <c r="I6" s="392"/>
      <c r="J6" s="393" t="s">
        <v>11</v>
      </c>
      <c r="K6" s="391"/>
      <c r="L6" s="391"/>
      <c r="M6" s="392"/>
      <c r="N6" s="394" t="s">
        <v>12</v>
      </c>
      <c r="O6" s="385"/>
      <c r="P6" s="385"/>
      <c r="Q6" s="385"/>
      <c r="R6" s="386"/>
    </row>
    <row r="7" spans="1:18" s="6" customFormat="1">
      <c r="A7" s="98"/>
      <c r="B7" s="126"/>
      <c r="C7" s="127"/>
      <c r="D7" s="127"/>
      <c r="E7" s="128"/>
      <c r="F7" s="395" t="s">
        <v>13</v>
      </c>
      <c r="G7" s="396"/>
      <c r="H7" s="397" t="s">
        <v>14</v>
      </c>
      <c r="I7" s="396"/>
      <c r="J7" s="397" t="s">
        <v>13</v>
      </c>
      <c r="K7" s="396"/>
      <c r="L7" s="397" t="s">
        <v>14</v>
      </c>
      <c r="M7" s="396"/>
      <c r="N7" s="398" t="s">
        <v>15</v>
      </c>
      <c r="O7" s="399"/>
      <c r="P7" s="398" t="s">
        <v>16</v>
      </c>
      <c r="Q7" s="399"/>
      <c r="R7" s="99" t="s">
        <v>17</v>
      </c>
    </row>
    <row r="8" spans="1:18" s="86" customFormat="1">
      <c r="A8" s="84" t="s">
        <v>18</v>
      </c>
      <c r="B8" s="108" t="s">
        <v>19</v>
      </c>
      <c r="C8" s="125">
        <v>46028</v>
      </c>
      <c r="D8" s="92">
        <v>46055</v>
      </c>
      <c r="E8" s="113" t="s">
        <v>19</v>
      </c>
      <c r="F8" s="91"/>
      <c r="G8" s="91"/>
      <c r="H8" s="91"/>
      <c r="I8" s="91"/>
      <c r="J8" s="88"/>
      <c r="K8" s="91"/>
      <c r="L8" s="91"/>
      <c r="M8" s="89"/>
      <c r="N8" s="100" t="str">
        <f>TEXT(O8,"ddd")</f>
        <v>Tue</v>
      </c>
      <c r="O8" s="92">
        <v>46028</v>
      </c>
      <c r="P8" s="100" t="str">
        <f>TEXT(Q8,"ddd")</f>
        <v>Mon</v>
      </c>
      <c r="Q8" s="92">
        <v>46055</v>
      </c>
      <c r="R8" s="90">
        <f>Q8-O8+1</f>
        <v>28</v>
      </c>
    </row>
    <row r="9" spans="1:18">
      <c r="A9" s="78"/>
      <c r="B9" s="106"/>
      <c r="C9" s="83"/>
      <c r="D9" s="83"/>
      <c r="E9" s="107"/>
      <c r="F9" s="82"/>
      <c r="G9" s="82"/>
      <c r="H9" s="82"/>
      <c r="I9" s="82"/>
      <c r="J9" s="9"/>
      <c r="K9" s="82"/>
      <c r="L9" s="82"/>
      <c r="M9" s="10"/>
      <c r="N9" s="3"/>
      <c r="O9" s="4"/>
      <c r="P9" s="3"/>
      <c r="Q9" s="4"/>
      <c r="R9" s="79"/>
    </row>
    <row r="10" spans="1:18" s="86" customFormat="1">
      <c r="A10" s="84" t="s">
        <v>20</v>
      </c>
      <c r="B10" s="108">
        <v>46042</v>
      </c>
      <c r="C10" s="92">
        <v>46049</v>
      </c>
      <c r="D10" s="92">
        <v>46082</v>
      </c>
      <c r="E10" s="109" t="s">
        <v>21</v>
      </c>
      <c r="F10" s="91"/>
      <c r="G10" s="91"/>
      <c r="H10" s="91"/>
      <c r="I10" s="91"/>
      <c r="J10" s="88"/>
      <c r="K10" s="91"/>
      <c r="L10" s="91"/>
      <c r="M10" s="89"/>
      <c r="N10" s="100" t="str">
        <f>TEXT(O10,"ddd")</f>
        <v>Mon</v>
      </c>
      <c r="O10" s="92">
        <v>46055</v>
      </c>
      <c r="P10" s="100" t="str">
        <f>TEXT(Q10,"ddd")</f>
        <v>Sun</v>
      </c>
      <c r="Q10" s="92">
        <v>46082</v>
      </c>
      <c r="R10" s="90">
        <f>Q10-O10+1</f>
        <v>28</v>
      </c>
    </row>
    <row r="11" spans="1:18">
      <c r="A11" s="78"/>
      <c r="B11" s="110"/>
      <c r="C11" s="81"/>
      <c r="D11" s="93"/>
      <c r="E11" s="111"/>
      <c r="F11" s="82"/>
      <c r="G11" s="82"/>
      <c r="H11" s="82"/>
      <c r="I11" s="82"/>
      <c r="J11" s="9"/>
      <c r="K11" s="82"/>
      <c r="L11" s="82"/>
      <c r="M11" s="10"/>
      <c r="N11" s="101"/>
      <c r="O11" s="4"/>
      <c r="P11" s="4"/>
      <c r="Q11" s="4"/>
      <c r="R11" s="80"/>
    </row>
    <row r="12" spans="1:18" s="86" customFormat="1">
      <c r="A12" s="87" t="s">
        <v>22</v>
      </c>
      <c r="B12" s="112" t="s">
        <v>19</v>
      </c>
      <c r="C12" s="92">
        <v>46070</v>
      </c>
      <c r="D12" s="92">
        <v>46089</v>
      </c>
      <c r="E12" s="113" t="s">
        <v>19</v>
      </c>
      <c r="F12" s="91"/>
      <c r="G12" s="91"/>
      <c r="H12" s="91"/>
      <c r="I12" s="91"/>
      <c r="J12" s="88"/>
      <c r="K12" s="91"/>
      <c r="L12" s="91"/>
      <c r="M12" s="89"/>
      <c r="N12" s="100" t="str">
        <f>TEXT(O12,"ddd")</f>
        <v>Tue</v>
      </c>
      <c r="O12" s="92">
        <v>46070</v>
      </c>
      <c r="P12" s="100" t="str">
        <f>TEXT(Q12,"ddd")</f>
        <v>Sun</v>
      </c>
      <c r="Q12" s="92">
        <v>46089</v>
      </c>
      <c r="R12" s="90">
        <f>Q12-O12+1</f>
        <v>20</v>
      </c>
    </row>
    <row r="13" spans="1:18" s="118" customFormat="1">
      <c r="A13" s="8"/>
      <c r="B13" s="106"/>
      <c r="C13" s="83"/>
      <c r="D13" s="83"/>
      <c r="E13" s="107"/>
      <c r="F13" s="82"/>
      <c r="G13" s="82"/>
      <c r="H13" s="82"/>
      <c r="I13" s="82"/>
      <c r="J13" s="9"/>
      <c r="K13" s="82"/>
      <c r="L13" s="82"/>
      <c r="M13" s="10"/>
      <c r="N13" s="83"/>
      <c r="O13" s="81"/>
      <c r="P13" s="83"/>
      <c r="Q13" s="81"/>
      <c r="R13" s="80"/>
    </row>
    <row r="14" spans="1:18" s="120" customFormat="1">
      <c r="A14" s="84" t="s">
        <v>23</v>
      </c>
      <c r="B14" s="108">
        <v>46063</v>
      </c>
      <c r="C14" s="92">
        <v>46070</v>
      </c>
      <c r="D14" s="92">
        <v>46103</v>
      </c>
      <c r="E14" s="109" t="s">
        <v>24</v>
      </c>
      <c r="F14" s="409"/>
      <c r="G14" s="409"/>
      <c r="H14" s="409"/>
      <c r="I14" s="410"/>
      <c r="J14" s="119" t="str">
        <f>TEXT(K14,"ddd")</f>
        <v>Mon</v>
      </c>
      <c r="K14" s="92">
        <v>46076</v>
      </c>
      <c r="L14" s="103" t="str">
        <f>TEXT(M14,"ddd")</f>
        <v>Sun</v>
      </c>
      <c r="M14" s="85">
        <v>46103</v>
      </c>
      <c r="N14" s="413" t="s">
        <v>19</v>
      </c>
      <c r="O14" s="414"/>
      <c r="P14" s="414"/>
      <c r="Q14" s="414"/>
      <c r="R14" s="415"/>
    </row>
    <row r="15" spans="1:18" s="2" customFormat="1">
      <c r="A15" s="8"/>
      <c r="B15" s="110"/>
      <c r="C15" s="94"/>
      <c r="D15" s="94"/>
      <c r="E15" s="107"/>
      <c r="F15" s="82"/>
      <c r="G15" s="82"/>
      <c r="H15" s="82"/>
      <c r="I15" s="82"/>
      <c r="J15" s="9"/>
      <c r="K15" s="82"/>
      <c r="L15" s="82"/>
      <c r="M15" s="10"/>
      <c r="N15" s="83"/>
      <c r="O15" s="81"/>
      <c r="P15" s="83"/>
      <c r="Q15" s="81"/>
      <c r="R15" s="80"/>
    </row>
    <row r="16" spans="1:18" s="120" customFormat="1">
      <c r="A16" s="84" t="s">
        <v>25</v>
      </c>
      <c r="B16" s="108">
        <v>46077</v>
      </c>
      <c r="C16" s="92">
        <v>46084</v>
      </c>
      <c r="D16" s="92">
        <v>46159</v>
      </c>
      <c r="E16" s="134" t="s">
        <v>26</v>
      </c>
      <c r="F16" s="92"/>
      <c r="G16" s="92"/>
      <c r="H16" s="92"/>
      <c r="I16" s="92"/>
      <c r="J16" s="117"/>
      <c r="K16" s="92"/>
      <c r="L16" s="92"/>
      <c r="M16" s="85"/>
      <c r="N16" s="103" t="str">
        <f>TEXT(O16,"ddd")</f>
        <v>Mon</v>
      </c>
      <c r="O16" s="92">
        <v>46090</v>
      </c>
      <c r="P16" s="103" t="str">
        <f>TEXT(Q16,"ddd")</f>
        <v>Sun</v>
      </c>
      <c r="Q16" s="92">
        <v>46110</v>
      </c>
      <c r="R16" s="90">
        <f>Q16-O16+1</f>
        <v>21</v>
      </c>
    </row>
    <row r="17" spans="1:18" s="2" customFormat="1">
      <c r="A17" s="8"/>
      <c r="B17" s="110"/>
      <c r="C17" s="81"/>
      <c r="D17" s="81"/>
      <c r="E17" s="111"/>
      <c r="F17" s="81"/>
      <c r="G17" s="81"/>
      <c r="H17" s="81"/>
      <c r="I17" s="81"/>
      <c r="J17" s="13"/>
      <c r="K17" s="81"/>
      <c r="L17" s="81"/>
      <c r="M17" s="14"/>
      <c r="N17" s="102"/>
      <c r="O17" s="81"/>
      <c r="P17" s="81"/>
      <c r="Q17" s="81"/>
      <c r="R17" s="80"/>
    </row>
    <row r="18" spans="1:18" s="120" customFormat="1">
      <c r="A18" s="130" t="s">
        <v>27</v>
      </c>
      <c r="B18" s="92" t="s">
        <v>19</v>
      </c>
      <c r="C18" s="92">
        <v>46112</v>
      </c>
      <c r="D18" s="92">
        <v>46138</v>
      </c>
      <c r="E18" s="109" t="s">
        <v>28</v>
      </c>
      <c r="F18" s="91"/>
      <c r="G18" s="91"/>
      <c r="H18" s="91"/>
      <c r="I18" s="91"/>
      <c r="J18" s="88"/>
      <c r="K18" s="91"/>
      <c r="L18" s="91"/>
      <c r="M18" s="89"/>
      <c r="N18" s="103" t="str">
        <f>TEXT(O18,"ddd")</f>
        <v>Tue</v>
      </c>
      <c r="O18" s="92">
        <v>46112</v>
      </c>
      <c r="P18" s="103" t="str">
        <f>TEXT(Q18,"ddd")</f>
        <v>Sun</v>
      </c>
      <c r="Q18" s="92">
        <v>46138</v>
      </c>
      <c r="R18" s="90">
        <f>Q18-O18+1</f>
        <v>27</v>
      </c>
    </row>
    <row r="19" spans="1:18" s="2" customFormat="1">
      <c r="A19" s="8"/>
      <c r="B19" s="110"/>
      <c r="C19" s="81"/>
      <c r="D19" s="81"/>
      <c r="E19" s="111"/>
      <c r="F19" s="82"/>
      <c r="G19" s="82"/>
      <c r="H19" s="82"/>
      <c r="I19" s="82"/>
      <c r="J19" s="9"/>
      <c r="K19" s="82"/>
      <c r="L19" s="82"/>
      <c r="M19" s="10"/>
      <c r="N19" s="83"/>
      <c r="O19" s="81"/>
      <c r="P19" s="83"/>
      <c r="Q19" s="81"/>
      <c r="R19" s="80"/>
    </row>
    <row r="20" spans="1:18" s="120" customFormat="1">
      <c r="A20" s="229" t="s">
        <v>29</v>
      </c>
      <c r="B20" s="108" t="s">
        <v>19</v>
      </c>
      <c r="C20" s="230">
        <v>46133</v>
      </c>
      <c r="D20" s="230">
        <v>46159</v>
      </c>
      <c r="E20" s="109" t="s">
        <v>19</v>
      </c>
      <c r="F20" s="92"/>
      <c r="G20" s="92"/>
      <c r="H20" s="92"/>
      <c r="I20" s="92"/>
      <c r="J20" s="117"/>
      <c r="K20" s="92"/>
      <c r="L20" s="92"/>
      <c r="M20" s="85"/>
      <c r="N20" s="103" t="str">
        <f>TEXT(O20,"ddd")</f>
        <v>Tue</v>
      </c>
      <c r="O20" s="230">
        <v>46133</v>
      </c>
      <c r="P20" s="103" t="str">
        <f>TEXT(Q20,"ddd")</f>
        <v>Sun</v>
      </c>
      <c r="Q20" s="230">
        <v>46159</v>
      </c>
      <c r="R20" s="90">
        <f>Q20-O20+1</f>
        <v>27</v>
      </c>
    </row>
    <row r="21" spans="1:18" s="118" customFormat="1">
      <c r="A21" s="8"/>
      <c r="B21" s="110"/>
      <c r="C21" s="81"/>
      <c r="D21" s="81"/>
      <c r="E21" s="111"/>
      <c r="F21" s="81"/>
      <c r="G21" s="81"/>
      <c r="H21" s="81"/>
      <c r="I21" s="81"/>
      <c r="J21" s="13"/>
      <c r="K21" s="81"/>
      <c r="L21" s="81"/>
      <c r="M21" s="14"/>
      <c r="N21" s="83"/>
      <c r="O21" s="81"/>
      <c r="P21" s="83"/>
      <c r="Q21" s="81"/>
      <c r="R21" s="80"/>
    </row>
    <row r="22" spans="1:18" s="120" customFormat="1">
      <c r="A22" s="84" t="s">
        <v>30</v>
      </c>
      <c r="B22" s="108">
        <v>46139</v>
      </c>
      <c r="C22" s="92">
        <v>46148</v>
      </c>
      <c r="D22" s="92">
        <v>46251</v>
      </c>
      <c r="E22" s="92" t="s">
        <v>19</v>
      </c>
      <c r="F22" s="92"/>
      <c r="G22" s="92"/>
      <c r="H22" s="92"/>
      <c r="I22" s="92"/>
      <c r="J22" s="244" t="str">
        <f>TEXT(K22,"ddd")</f>
        <v>Mon</v>
      </c>
      <c r="K22" s="245">
        <v>46188</v>
      </c>
      <c r="L22" s="246" t="str">
        <f>TEXT(M22,"ddd")</f>
        <v>Mon</v>
      </c>
      <c r="M22" s="247">
        <v>46251</v>
      </c>
      <c r="N22" s="103" t="str">
        <f>TEXT(O22,"ddd")</f>
        <v>Mon</v>
      </c>
      <c r="O22" s="92">
        <v>46153</v>
      </c>
      <c r="P22" s="103" t="str">
        <f>TEXT(Q22,"ddd")</f>
        <v>Sun</v>
      </c>
      <c r="Q22" s="95">
        <v>46187</v>
      </c>
      <c r="R22" s="90">
        <f>Q22-O22+1</f>
        <v>35</v>
      </c>
    </row>
    <row r="23" spans="1:18" s="118" customFormat="1">
      <c r="A23" s="8"/>
      <c r="B23" s="110"/>
      <c r="C23" s="94"/>
      <c r="D23" s="94"/>
      <c r="E23" s="107"/>
      <c r="F23" s="81"/>
      <c r="G23" s="81"/>
      <c r="H23" s="81"/>
      <c r="I23" s="81"/>
      <c r="J23" s="13"/>
      <c r="K23" s="81"/>
      <c r="L23" s="81"/>
      <c r="M23" s="14"/>
      <c r="N23" s="83"/>
      <c r="O23" s="81"/>
      <c r="P23" s="83"/>
      <c r="Q23" s="81"/>
      <c r="R23" s="80"/>
    </row>
    <row r="24" spans="1:18" s="120" customFormat="1">
      <c r="A24" s="84" t="s">
        <v>27</v>
      </c>
      <c r="B24" s="108" t="s">
        <v>19</v>
      </c>
      <c r="C24" s="92">
        <v>46182</v>
      </c>
      <c r="D24" s="92">
        <v>46222</v>
      </c>
      <c r="E24" s="129" t="s">
        <v>31</v>
      </c>
      <c r="F24" s="409"/>
      <c r="G24" s="409"/>
      <c r="H24" s="409"/>
      <c r="I24" s="410"/>
      <c r="J24" s="119"/>
      <c r="K24" s="92"/>
      <c r="L24" s="103"/>
      <c r="M24" s="85"/>
      <c r="N24" s="103" t="str">
        <f>TEXT(O24,"ddd")</f>
        <v>Tue</v>
      </c>
      <c r="O24" s="92">
        <v>46182</v>
      </c>
      <c r="P24" s="103" t="str">
        <f>TEXT(Q24,"ddd")</f>
        <v>Sun</v>
      </c>
      <c r="Q24" s="92">
        <v>46222</v>
      </c>
      <c r="R24" s="90">
        <f>Q24-O24+1</f>
        <v>41</v>
      </c>
    </row>
    <row r="25" spans="1:18" s="118" customFormat="1">
      <c r="A25" s="8"/>
      <c r="B25" s="114"/>
      <c r="C25" s="81"/>
      <c r="D25" s="81"/>
      <c r="E25" s="111"/>
      <c r="F25" s="81"/>
      <c r="G25" s="81"/>
      <c r="H25" s="81"/>
      <c r="I25" s="81"/>
      <c r="J25" s="13"/>
      <c r="K25" s="81"/>
      <c r="L25" s="81"/>
      <c r="M25" s="14"/>
      <c r="N25" s="83"/>
      <c r="O25" s="81"/>
      <c r="P25" s="83"/>
      <c r="Q25" s="81"/>
      <c r="R25" s="80"/>
    </row>
    <row r="26" spans="1:18" s="118" customFormat="1">
      <c r="A26" s="8"/>
      <c r="B26" s="110"/>
      <c r="C26" s="94"/>
      <c r="D26" s="94"/>
      <c r="E26" s="107"/>
      <c r="F26" s="81"/>
      <c r="G26" s="81"/>
      <c r="H26" s="81"/>
      <c r="I26" s="81"/>
      <c r="J26" s="13"/>
      <c r="K26" s="81"/>
      <c r="L26" s="81"/>
      <c r="M26" s="14"/>
      <c r="N26" s="83"/>
      <c r="O26" s="81"/>
      <c r="P26" s="83"/>
      <c r="Q26" s="81"/>
      <c r="R26" s="80"/>
    </row>
    <row r="27" spans="1:18" s="236" customFormat="1">
      <c r="A27" s="229" t="s">
        <v>32</v>
      </c>
      <c r="B27" s="231" t="s">
        <v>19</v>
      </c>
      <c r="C27" s="230">
        <v>46210</v>
      </c>
      <c r="D27" s="230">
        <v>46229</v>
      </c>
      <c r="E27" s="230" t="s">
        <v>19</v>
      </c>
      <c r="F27" s="230"/>
      <c r="G27" s="230"/>
      <c r="H27" s="230"/>
      <c r="I27" s="230"/>
      <c r="J27" s="232"/>
      <c r="K27" s="230"/>
      <c r="L27" s="230"/>
      <c r="M27" s="233"/>
      <c r="N27" s="234" t="str">
        <f>TEXT(O27,"ddd")</f>
        <v>Tue</v>
      </c>
      <c r="O27" s="230">
        <v>46210</v>
      </c>
      <c r="P27" s="234" t="str">
        <f>TEXT(Q27,"ddd")</f>
        <v>Sun</v>
      </c>
      <c r="Q27" s="230">
        <v>46229</v>
      </c>
      <c r="R27" s="235">
        <f>Q27-O27+1</f>
        <v>20</v>
      </c>
    </row>
    <row r="28" spans="1:18" s="118" customFormat="1">
      <c r="A28" s="8"/>
      <c r="B28" s="110"/>
      <c r="C28" s="81"/>
      <c r="D28" s="81"/>
      <c r="E28" s="111"/>
      <c r="F28" s="81"/>
      <c r="G28" s="81"/>
      <c r="H28" s="81"/>
      <c r="I28" s="81"/>
      <c r="J28" s="13"/>
      <c r="K28" s="81"/>
      <c r="L28" s="81"/>
      <c r="M28" s="14"/>
      <c r="N28" s="83"/>
      <c r="O28" s="81"/>
      <c r="P28" s="83"/>
      <c r="Q28" s="81"/>
      <c r="R28" s="80"/>
    </row>
    <row r="29" spans="1:18" s="121" customFormat="1" ht="19.350000000000001" customHeight="1">
      <c r="A29" s="124" t="s">
        <v>33</v>
      </c>
      <c r="B29" s="108">
        <v>46217</v>
      </c>
      <c r="C29" s="131">
        <v>46224</v>
      </c>
      <c r="D29" s="92">
        <v>46257</v>
      </c>
      <c r="E29" s="92" t="s">
        <v>34</v>
      </c>
      <c r="F29" s="92"/>
      <c r="G29" s="92"/>
      <c r="H29" s="108"/>
      <c r="I29" s="92"/>
      <c r="J29" s="132"/>
      <c r="K29" s="133"/>
      <c r="L29" s="133"/>
      <c r="M29" s="133"/>
      <c r="N29" s="119" t="str">
        <f>TEXT(O29,"ddd")</f>
        <v>Mon</v>
      </c>
      <c r="O29" s="92">
        <v>46230</v>
      </c>
      <c r="P29" s="103" t="str">
        <f>TEXT(Q29,"ddd")</f>
        <v>Sun</v>
      </c>
      <c r="Q29" s="92">
        <v>46257</v>
      </c>
      <c r="R29" s="90">
        <f>Q29-O29+1</f>
        <v>28</v>
      </c>
    </row>
    <row r="30" spans="1:18" s="2" customFormat="1">
      <c r="A30" s="8"/>
      <c r="B30" s="110"/>
      <c r="C30" s="81"/>
      <c r="D30" s="81"/>
      <c r="E30" s="111"/>
      <c r="F30" s="81"/>
      <c r="G30" s="81"/>
      <c r="H30" s="81"/>
      <c r="I30" s="81"/>
      <c r="J30" s="13"/>
      <c r="K30" s="81"/>
      <c r="L30" s="81"/>
      <c r="M30" s="14"/>
      <c r="N30" s="123"/>
      <c r="O30" s="81"/>
      <c r="P30" s="81"/>
      <c r="Q30" s="81"/>
      <c r="R30" s="80"/>
    </row>
    <row r="31" spans="1:18" s="236" customFormat="1" ht="19.350000000000001" customHeight="1">
      <c r="A31" s="237" t="s">
        <v>35</v>
      </c>
      <c r="B31" s="231">
        <v>46217</v>
      </c>
      <c r="C31" s="238">
        <v>46224</v>
      </c>
      <c r="D31" s="230">
        <v>46257</v>
      </c>
      <c r="E31" s="230" t="s">
        <v>34</v>
      </c>
      <c r="F31" s="230"/>
      <c r="G31" s="230"/>
      <c r="H31" s="230"/>
      <c r="I31" s="230"/>
      <c r="J31" s="239" t="str">
        <f>TEXT(K31,"ddd")</f>
        <v>Mon</v>
      </c>
      <c r="K31" s="230">
        <v>46230</v>
      </c>
      <c r="L31" s="234" t="str">
        <f>TEXT(M31,"ddd")</f>
        <v>Sun</v>
      </c>
      <c r="M31" s="233">
        <v>46257</v>
      </c>
      <c r="N31" s="416" t="s">
        <v>19</v>
      </c>
      <c r="O31" s="417"/>
      <c r="P31" s="417"/>
      <c r="Q31" s="417"/>
      <c r="R31" s="418"/>
    </row>
    <row r="32" spans="1:18" s="2" customFormat="1">
      <c r="A32" s="8"/>
      <c r="B32" s="110"/>
      <c r="C32" s="81"/>
      <c r="D32" s="81"/>
      <c r="E32" s="111"/>
      <c r="F32" s="81"/>
      <c r="G32" s="81"/>
      <c r="H32" s="81"/>
      <c r="I32" s="81"/>
      <c r="J32" s="13"/>
      <c r="K32" s="81"/>
      <c r="L32" s="81"/>
      <c r="M32" s="14"/>
      <c r="N32" s="123"/>
      <c r="O32" s="81"/>
      <c r="P32" s="81"/>
      <c r="Q32" s="81"/>
      <c r="R32" s="80"/>
    </row>
    <row r="33" spans="1:18" s="240" customFormat="1">
      <c r="A33" s="250" t="s">
        <v>36</v>
      </c>
      <c r="B33" s="231">
        <v>46245</v>
      </c>
      <c r="C33" s="230">
        <v>46252</v>
      </c>
      <c r="D33" s="248" t="s">
        <v>37</v>
      </c>
      <c r="E33" s="249" t="s">
        <v>38</v>
      </c>
      <c r="F33" s="411"/>
      <c r="G33" s="411"/>
      <c r="H33" s="411"/>
      <c r="I33" s="412"/>
      <c r="J33" s="244" t="str">
        <f>TEXT(K33,"ddd")</f>
        <v>Mon</v>
      </c>
      <c r="K33" s="245">
        <v>46279</v>
      </c>
      <c r="L33" s="246" t="str">
        <f>TEXT(M33,"ddd")</f>
        <v>Sun</v>
      </c>
      <c r="M33" s="247">
        <v>46292</v>
      </c>
      <c r="N33" s="234" t="str">
        <f>TEXT(O33,"ddd")</f>
        <v>Mon</v>
      </c>
      <c r="O33" s="230">
        <v>46258</v>
      </c>
      <c r="P33" s="234" t="str">
        <f>TEXT(Q33,"ddd")</f>
        <v>Sun</v>
      </c>
      <c r="Q33" s="230">
        <v>46278</v>
      </c>
      <c r="R33" s="235">
        <f>Q33-O33+1</f>
        <v>21</v>
      </c>
    </row>
    <row r="34" spans="1:18" s="122" customFormat="1">
      <c r="A34" s="8"/>
      <c r="B34" s="110"/>
      <c r="C34" s="94"/>
      <c r="D34" s="94"/>
      <c r="E34" s="107"/>
      <c r="F34" s="81"/>
      <c r="G34" s="81"/>
      <c r="H34" s="81"/>
      <c r="I34" s="81"/>
      <c r="J34" s="13"/>
      <c r="K34" s="81"/>
      <c r="L34" s="81"/>
      <c r="M34" s="14"/>
      <c r="N34" s="81"/>
      <c r="O34" s="81"/>
      <c r="P34" s="81"/>
      <c r="Q34" s="81"/>
      <c r="R34" s="80"/>
    </row>
    <row r="35" spans="1:18" s="121" customFormat="1">
      <c r="A35" s="87" t="s">
        <v>32</v>
      </c>
      <c r="B35" s="108" t="s">
        <v>19</v>
      </c>
      <c r="C35" s="92">
        <v>46273</v>
      </c>
      <c r="D35" s="92">
        <v>46299</v>
      </c>
      <c r="E35" s="92" t="s">
        <v>19</v>
      </c>
      <c r="F35" s="92"/>
      <c r="G35" s="92"/>
      <c r="H35" s="92"/>
      <c r="I35" s="92"/>
      <c r="J35" s="117"/>
      <c r="K35" s="92"/>
      <c r="L35" s="92"/>
      <c r="M35" s="85"/>
      <c r="N35" s="103" t="str">
        <f>TEXT(O35,"ddd")</f>
        <v>Tue</v>
      </c>
      <c r="O35" s="92">
        <v>46273</v>
      </c>
      <c r="P35" s="103" t="str">
        <f>TEXT(Q35,"ddd")</f>
        <v>Sun</v>
      </c>
      <c r="Q35" s="92">
        <v>46299</v>
      </c>
      <c r="R35" s="90">
        <f>Q35-O35+1</f>
        <v>27</v>
      </c>
    </row>
    <row r="36" spans="1:18" s="2" customFormat="1">
      <c r="A36" s="8"/>
      <c r="B36" s="110"/>
      <c r="C36" s="81"/>
      <c r="D36" s="81"/>
      <c r="E36" s="111"/>
      <c r="F36" s="81"/>
      <c r="G36" s="81"/>
      <c r="H36" s="81"/>
      <c r="I36" s="81"/>
      <c r="J36" s="13"/>
      <c r="K36" s="81"/>
      <c r="L36" s="81"/>
      <c r="M36" s="14"/>
      <c r="N36" s="123"/>
      <c r="O36" s="81"/>
      <c r="P36" s="81"/>
      <c r="Q36" s="81"/>
      <c r="R36" s="80"/>
    </row>
    <row r="37" spans="1:18" s="2" customFormat="1">
      <c r="A37" s="8"/>
      <c r="B37" s="110"/>
      <c r="C37" s="81"/>
      <c r="D37" s="81"/>
      <c r="E37" s="111"/>
      <c r="F37" s="81"/>
      <c r="G37" s="81"/>
      <c r="H37" s="81"/>
      <c r="I37" s="81"/>
      <c r="J37" s="13"/>
      <c r="K37" s="81"/>
      <c r="L37" s="81"/>
      <c r="M37" s="14"/>
      <c r="N37" s="123"/>
      <c r="O37" s="81"/>
      <c r="P37" s="81"/>
      <c r="Q37" s="81"/>
      <c r="R37" s="80"/>
    </row>
    <row r="38" spans="1:18" s="121" customFormat="1">
      <c r="A38" s="84" t="s">
        <v>39</v>
      </c>
      <c r="B38" s="108" t="s">
        <v>19</v>
      </c>
      <c r="C38" s="92">
        <v>46301</v>
      </c>
      <c r="D38" s="92">
        <v>46327</v>
      </c>
      <c r="E38" s="109" t="s">
        <v>19</v>
      </c>
      <c r="F38" s="92"/>
      <c r="G38" s="92"/>
      <c r="H38" s="92"/>
      <c r="I38" s="92"/>
      <c r="J38" s="117"/>
      <c r="K38" s="92"/>
      <c r="L38" s="92"/>
      <c r="M38" s="85"/>
      <c r="N38" s="103" t="str">
        <f>TEXT(O38,"ddd")</f>
        <v>Tue</v>
      </c>
      <c r="O38" s="92">
        <v>46301</v>
      </c>
      <c r="P38" s="103" t="str">
        <f>TEXT(Q38,"ddd")</f>
        <v>Sun</v>
      </c>
      <c r="Q38" s="92">
        <v>46327</v>
      </c>
      <c r="R38" s="90">
        <f>Q38-O38+1</f>
        <v>27</v>
      </c>
    </row>
    <row r="39" spans="1:18" s="118" customFormat="1">
      <c r="A39" s="8"/>
      <c r="B39" s="110"/>
      <c r="C39" s="81"/>
      <c r="D39" s="81"/>
      <c r="E39" s="111"/>
      <c r="F39" s="81"/>
      <c r="G39" s="81"/>
      <c r="H39" s="81"/>
      <c r="I39" s="81"/>
      <c r="J39" s="13"/>
      <c r="K39" s="81"/>
      <c r="L39" s="81"/>
      <c r="M39" s="14"/>
      <c r="N39" s="83"/>
      <c r="O39" s="94"/>
      <c r="P39" s="83"/>
      <c r="Q39" s="94"/>
      <c r="R39" s="80"/>
    </row>
    <row r="40" spans="1:18" s="121" customFormat="1">
      <c r="A40" s="84" t="s">
        <v>40</v>
      </c>
      <c r="B40" s="108">
        <v>46315</v>
      </c>
      <c r="C40" s="92">
        <v>46322</v>
      </c>
      <c r="D40" s="92">
        <v>46348</v>
      </c>
      <c r="E40" s="92" t="s">
        <v>41</v>
      </c>
      <c r="F40" s="92"/>
      <c r="G40" s="92"/>
      <c r="H40" s="92"/>
      <c r="I40" s="92"/>
      <c r="J40" s="117"/>
      <c r="K40" s="92"/>
      <c r="L40" s="92"/>
      <c r="M40" s="85"/>
      <c r="N40" s="103" t="str">
        <f>TEXT(O40,"ddd")</f>
        <v>Mon</v>
      </c>
      <c r="O40" s="92">
        <v>46328</v>
      </c>
      <c r="P40" s="103" t="str">
        <f>TEXT(Q40,"ddd")</f>
        <v>Sun</v>
      </c>
      <c r="Q40" s="92">
        <v>46348</v>
      </c>
      <c r="R40" s="90">
        <f>Q40-O40+1</f>
        <v>21</v>
      </c>
    </row>
    <row r="41" spans="1:18" s="118" customFormat="1">
      <c r="A41" s="8"/>
      <c r="B41" s="110"/>
      <c r="C41" s="81"/>
      <c r="D41" s="81"/>
      <c r="E41" s="111"/>
      <c r="F41" s="81"/>
      <c r="G41" s="81"/>
      <c r="H41" s="81"/>
      <c r="I41" s="81"/>
      <c r="J41" s="13"/>
      <c r="K41" s="81"/>
      <c r="L41" s="81"/>
      <c r="M41" s="14"/>
      <c r="N41" s="83"/>
      <c r="O41" s="81"/>
      <c r="P41" s="83"/>
      <c r="Q41" s="81"/>
      <c r="R41" s="80"/>
    </row>
    <row r="42" spans="1:18" s="240" customFormat="1">
      <c r="A42" s="229" t="s">
        <v>36</v>
      </c>
      <c r="B42" s="231">
        <v>46322</v>
      </c>
      <c r="C42" s="230">
        <v>46329</v>
      </c>
      <c r="D42" s="248" t="s">
        <v>42</v>
      </c>
      <c r="E42" s="249" t="s">
        <v>43</v>
      </c>
      <c r="F42" s="411"/>
      <c r="G42" s="411"/>
      <c r="H42" s="411"/>
      <c r="I42" s="412"/>
      <c r="J42" s="244" t="str">
        <f>TEXT(K42,"ddd")</f>
        <v>Mon</v>
      </c>
      <c r="K42" s="245">
        <v>46356</v>
      </c>
      <c r="L42" s="246" t="str">
        <f>TEXT(M42,"ddd")</f>
        <v>Sun</v>
      </c>
      <c r="M42" s="247">
        <v>46383</v>
      </c>
      <c r="N42" s="239" t="str">
        <f>TEXT(O42,"ddd")</f>
        <v>Mon</v>
      </c>
      <c r="O42" s="230">
        <v>46335</v>
      </c>
      <c r="P42" s="234" t="str">
        <f>TEXT(Q42,"ddd")</f>
        <v>Sun</v>
      </c>
      <c r="Q42" s="230">
        <v>46355</v>
      </c>
      <c r="R42" s="235">
        <f>Q42-O42+1</f>
        <v>21</v>
      </c>
    </row>
    <row r="43" spans="1:18" s="2" customFormat="1">
      <c r="A43" s="8"/>
      <c r="B43" s="110"/>
      <c r="C43" s="81"/>
      <c r="D43" s="81"/>
      <c r="E43" s="111"/>
      <c r="F43" s="81"/>
      <c r="G43" s="81"/>
      <c r="H43" s="81"/>
      <c r="I43" s="81"/>
      <c r="J43" s="13"/>
      <c r="K43" s="81"/>
      <c r="L43" s="81"/>
      <c r="M43" s="14"/>
      <c r="N43" s="83"/>
      <c r="O43" s="94"/>
      <c r="P43" s="83"/>
      <c r="Q43" s="94"/>
      <c r="R43" s="80"/>
    </row>
    <row r="44" spans="1:18" s="115" customFormat="1">
      <c r="A44" s="130" t="s">
        <v>27</v>
      </c>
      <c r="B44" s="108" t="s">
        <v>19</v>
      </c>
      <c r="C44" s="92">
        <v>46357</v>
      </c>
      <c r="D44" s="230">
        <v>46383</v>
      </c>
      <c r="E44" s="109" t="s">
        <v>44</v>
      </c>
      <c r="F44" s="92"/>
      <c r="G44" s="92"/>
      <c r="H44" s="92"/>
      <c r="I44" s="85"/>
      <c r="J44" s="92"/>
      <c r="K44" s="92"/>
      <c r="L44" s="92"/>
      <c r="M44" s="85"/>
      <c r="N44" s="103" t="str">
        <f>TEXT(O44,"ddd")</f>
        <v>Tue</v>
      </c>
      <c r="O44" s="92">
        <v>46357</v>
      </c>
      <c r="P44" s="103" t="str">
        <f>TEXT(Q44,"ddd")</f>
        <v>Sun</v>
      </c>
      <c r="Q44" s="230">
        <v>46383</v>
      </c>
      <c r="R44" s="90">
        <f>Q44-O44+1</f>
        <v>27</v>
      </c>
    </row>
    <row r="45" spans="1:18" s="11" customFormat="1">
      <c r="A45" s="8"/>
      <c r="B45" s="110"/>
      <c r="C45" s="81"/>
      <c r="D45" s="81"/>
      <c r="E45" s="111"/>
      <c r="F45" s="81"/>
      <c r="G45" s="81"/>
      <c r="H45" s="81"/>
      <c r="I45" s="14"/>
      <c r="J45" s="81"/>
      <c r="K45" s="81"/>
      <c r="L45" s="81"/>
      <c r="M45" s="14"/>
      <c r="N45" s="116"/>
      <c r="O45" s="81"/>
      <c r="P45" s="116"/>
      <c r="Q45" s="81"/>
      <c r="R45" s="80"/>
    </row>
    <row r="46" spans="1:18" s="243" customFormat="1">
      <c r="A46" s="241" t="s">
        <v>45</v>
      </c>
      <c r="B46" s="231" t="s">
        <v>19</v>
      </c>
      <c r="C46" s="230">
        <v>46364</v>
      </c>
      <c r="D46" s="230">
        <v>46383</v>
      </c>
      <c r="E46" s="242" t="s">
        <v>19</v>
      </c>
      <c r="F46" s="230"/>
      <c r="G46" s="230"/>
      <c r="H46" s="230"/>
      <c r="I46" s="233"/>
      <c r="J46" s="230"/>
      <c r="K46" s="230"/>
      <c r="L46" s="230"/>
      <c r="M46" s="233"/>
      <c r="N46" s="234" t="str">
        <f>TEXT(O46,"ddd")</f>
        <v>Tue</v>
      </c>
      <c r="O46" s="230">
        <v>46364</v>
      </c>
      <c r="P46" s="234" t="str">
        <f>TEXT(Q46,"ddd")</f>
        <v>Sun</v>
      </c>
      <c r="Q46" s="230">
        <v>46383</v>
      </c>
      <c r="R46" s="235">
        <f>Q46-O46+1</f>
        <v>20</v>
      </c>
    </row>
    <row r="47" spans="1:18" ht="109.35" customHeight="1">
      <c r="A47" s="406" t="s">
        <v>46</v>
      </c>
      <c r="B47" s="407"/>
      <c r="C47" s="407"/>
      <c r="D47" s="407"/>
      <c r="E47" s="407"/>
      <c r="F47" s="407"/>
      <c r="G47" s="407"/>
      <c r="H47" s="407"/>
      <c r="I47" s="407"/>
      <c r="J47" s="407"/>
      <c r="K47" s="407"/>
      <c r="L47" s="407"/>
      <c r="M47" s="407"/>
      <c r="N47" s="407"/>
      <c r="O47" s="407"/>
      <c r="P47" s="407"/>
      <c r="Q47" s="407"/>
      <c r="R47" s="408"/>
    </row>
    <row r="48" spans="1:18" ht="17.25" customHeight="1">
      <c r="A48" s="19"/>
      <c r="B48" s="20"/>
      <c r="C48" s="21"/>
      <c r="D48" s="21"/>
      <c r="E48" s="21"/>
      <c r="F48" s="22"/>
      <c r="G48" s="22"/>
      <c r="H48" s="22"/>
      <c r="I48" s="22"/>
      <c r="J48" s="22"/>
      <c r="K48" s="22"/>
      <c r="L48" s="22"/>
      <c r="M48" s="22"/>
      <c r="N48" s="22"/>
      <c r="O48" s="22"/>
      <c r="P48" s="22"/>
      <c r="Q48" s="22"/>
      <c r="R48" s="23"/>
    </row>
    <row r="49" spans="1:18" ht="17.25" customHeight="1">
      <c r="A49" s="19"/>
      <c r="B49" s="20"/>
      <c r="C49" s="21"/>
      <c r="D49" s="21"/>
      <c r="E49" s="21"/>
      <c r="F49" s="22"/>
      <c r="G49" s="22"/>
      <c r="H49" s="22"/>
      <c r="I49" s="22"/>
      <c r="J49" s="22"/>
      <c r="K49" s="22"/>
      <c r="L49" s="22"/>
      <c r="M49" s="22"/>
      <c r="N49" s="22"/>
      <c r="O49" s="22"/>
      <c r="P49" s="22"/>
      <c r="Q49" s="22"/>
      <c r="R49" s="23"/>
    </row>
    <row r="50" spans="1:18"/>
    <row r="51" spans="1:18" ht="25.35" hidden="1" customHeight="1">
      <c r="A51" s="27"/>
    </row>
    <row r="52" spans="1:18" ht="25.35" hidden="1" customHeight="1">
      <c r="A52" s="28"/>
    </row>
    <row r="53" spans="1:18">
      <c r="A53" s="28"/>
    </row>
    <row r="54" spans="1:18"/>
    <row r="55" spans="1:18"/>
    <row r="56" spans="1:18"/>
    <row r="57" spans="1:18"/>
    <row r="58" spans="1:18"/>
    <row r="59" spans="1:18"/>
    <row r="60" spans="1:18"/>
    <row r="61" spans="1:18"/>
    <row r="62" spans="1:18"/>
    <row r="63" spans="1:18"/>
    <row r="64" spans="1:18"/>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21">
    <mergeCell ref="A47:R47"/>
    <mergeCell ref="F24:I24"/>
    <mergeCell ref="F33:I33"/>
    <mergeCell ref="F42:I42"/>
    <mergeCell ref="N14:R14"/>
    <mergeCell ref="F14:I14"/>
    <mergeCell ref="N31:R31"/>
    <mergeCell ref="A1:R1"/>
    <mergeCell ref="A2:R2"/>
    <mergeCell ref="A3:R3"/>
    <mergeCell ref="B5:E5"/>
    <mergeCell ref="F5:R5"/>
    <mergeCell ref="F6:I6"/>
    <mergeCell ref="J6:M6"/>
    <mergeCell ref="N6:R6"/>
    <mergeCell ref="F7:G7"/>
    <mergeCell ref="L7:M7"/>
    <mergeCell ref="N7:O7"/>
    <mergeCell ref="H7:I7"/>
    <mergeCell ref="J7:K7"/>
    <mergeCell ref="P7:Q7"/>
  </mergeCells>
  <printOptions horizontalCentered="1"/>
  <pageMargins left="0.7" right="0.7" top="0.75" bottom="0.75" header="0.3" footer="0.3"/>
  <pageSetup scale="31"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0755-8DAD-9948-B839-E092C8ABBDF3}">
  <sheetPr>
    <tabColor rgb="FFFFC000"/>
    <pageSetUpPr fitToPage="1"/>
  </sheetPr>
  <dimension ref="A1:AA54"/>
  <sheetViews>
    <sheetView tabSelected="1" zoomScale="110" zoomScaleNormal="110" workbookViewId="0">
      <pane ySplit="4" topLeftCell="A10" activePane="bottomLeft" state="frozen"/>
      <selection pane="bottomLeft" activeCell="C47" sqref="C47"/>
    </sheetView>
  </sheetViews>
  <sheetFormatPr defaultColWidth="0" defaultRowHeight="19.5"/>
  <cols>
    <col min="1" max="1" width="40" style="26" customWidth="1"/>
    <col min="2" max="2" width="23.28515625" style="253" customWidth="1"/>
    <col min="3" max="3" width="26" style="253" customWidth="1"/>
    <col min="4" max="4" width="21.42578125" style="26" customWidth="1"/>
    <col min="5" max="5" width="14.140625" style="3" customWidth="1"/>
    <col min="6" max="6" width="20.42578125" style="24" customWidth="1"/>
    <col min="7" max="8" width="16.42578125" style="24" customWidth="1"/>
    <col min="9" max="9" width="8.42578125" style="282" customWidth="1"/>
    <col min="10" max="10" width="9.7109375" style="282" customWidth="1"/>
    <col min="11" max="12" width="15.42578125" style="26" customWidth="1"/>
    <col min="13" max="13" width="17.42578125" style="26" customWidth="1"/>
    <col min="14" max="14" width="13.42578125" style="26" hidden="1" customWidth="1"/>
    <col min="15" max="26" width="10.42578125" style="26" hidden="1" customWidth="1"/>
    <col min="27" max="16384" width="8" style="26" hidden="1"/>
  </cols>
  <sheetData>
    <row r="1" spans="1:13" s="354" customFormat="1" ht="34.5" customHeight="1" thickBot="1">
      <c r="A1" s="374" t="s">
        <v>47</v>
      </c>
      <c r="B1" s="374"/>
      <c r="C1" s="374"/>
      <c r="D1" s="374"/>
      <c r="E1" s="374"/>
      <c r="F1" s="374"/>
      <c r="G1" s="374"/>
      <c r="H1" s="374"/>
      <c r="I1" s="374"/>
      <c r="J1" s="374"/>
      <c r="K1" s="374"/>
      <c r="L1" s="374"/>
      <c r="M1" s="374"/>
    </row>
    <row r="2" spans="1:13" ht="20.100000000000001" thickBot="1">
      <c r="A2" s="5"/>
      <c r="B2" s="251"/>
      <c r="C2" s="251"/>
      <c r="D2" s="5"/>
      <c r="E2" s="375" t="s">
        <v>48</v>
      </c>
      <c r="F2" s="376"/>
      <c r="G2" s="376"/>
      <c r="H2" s="376"/>
      <c r="I2" s="376"/>
      <c r="J2" s="376"/>
      <c r="K2" s="377" t="s">
        <v>49</v>
      </c>
      <c r="L2" s="377"/>
      <c r="M2" s="378"/>
    </row>
    <row r="3" spans="1:13" ht="44.1" customHeight="1" thickBot="1">
      <c r="A3" s="96" t="s">
        <v>5</v>
      </c>
      <c r="B3" s="382" t="s">
        <v>50</v>
      </c>
      <c r="C3" s="383"/>
      <c r="D3" s="384"/>
      <c r="E3" s="267" t="s">
        <v>6</v>
      </c>
      <c r="F3" s="97" t="s">
        <v>51</v>
      </c>
      <c r="G3" s="97" t="s">
        <v>52</v>
      </c>
      <c r="H3" s="105" t="s">
        <v>53</v>
      </c>
      <c r="I3" s="387" t="s">
        <v>54</v>
      </c>
      <c r="J3" s="388"/>
      <c r="K3" s="385" t="s">
        <v>12</v>
      </c>
      <c r="L3" s="385"/>
      <c r="M3" s="386"/>
    </row>
    <row r="4" spans="1:13" s="254" customFormat="1">
      <c r="A4" s="96"/>
      <c r="B4" s="284" t="s">
        <v>55</v>
      </c>
      <c r="C4" s="284" t="s">
        <v>56</v>
      </c>
      <c r="D4" s="285" t="s">
        <v>57</v>
      </c>
      <c r="E4" s="286"/>
      <c r="F4" s="287"/>
      <c r="G4" s="287"/>
      <c r="H4" s="288"/>
      <c r="I4" s="289" t="s">
        <v>58</v>
      </c>
      <c r="J4" s="289" t="s">
        <v>59</v>
      </c>
      <c r="K4" s="290" t="s">
        <v>58</v>
      </c>
      <c r="L4" s="290" t="s">
        <v>59</v>
      </c>
      <c r="M4" s="291" t="s">
        <v>17</v>
      </c>
    </row>
    <row r="5" spans="1:13" s="298" customFormat="1" ht="39">
      <c r="A5" s="283" t="s">
        <v>18</v>
      </c>
      <c r="B5" s="292"/>
      <c r="C5" s="292"/>
      <c r="D5" s="293"/>
      <c r="E5" s="294" t="s">
        <v>19</v>
      </c>
      <c r="F5" s="295">
        <v>46028</v>
      </c>
      <c r="G5" s="294">
        <v>46055</v>
      </c>
      <c r="H5" s="295" t="s">
        <v>19</v>
      </c>
      <c r="I5" s="296"/>
      <c r="J5" s="296"/>
      <c r="K5" s="294">
        <v>46028</v>
      </c>
      <c r="L5" s="294">
        <v>46055</v>
      </c>
      <c r="M5" s="297">
        <f>L5-K5+1</f>
        <v>28</v>
      </c>
    </row>
    <row r="6" spans="1:13">
      <c r="A6" s="272"/>
      <c r="B6" s="264"/>
      <c r="C6" s="264"/>
      <c r="D6" s="147"/>
      <c r="E6" s="106"/>
      <c r="F6" s="83"/>
      <c r="G6" s="83"/>
      <c r="H6" s="107"/>
      <c r="I6" s="276"/>
      <c r="J6" s="277"/>
      <c r="K6" s="4"/>
      <c r="L6" s="4"/>
      <c r="M6" s="79"/>
    </row>
    <row r="7" spans="1:13" s="305" customFormat="1" ht="121.5" customHeight="1">
      <c r="A7" s="299" t="s">
        <v>20</v>
      </c>
      <c r="B7" s="300" t="s">
        <v>60</v>
      </c>
      <c r="C7" s="300" t="s">
        <v>61</v>
      </c>
      <c r="D7" s="301" t="s">
        <v>62</v>
      </c>
      <c r="E7" s="302">
        <v>46042</v>
      </c>
      <c r="F7" s="302">
        <v>46049</v>
      </c>
      <c r="G7" s="302">
        <v>46082</v>
      </c>
      <c r="H7" s="302" t="s">
        <v>21</v>
      </c>
      <c r="I7" s="303"/>
      <c r="J7" s="303"/>
      <c r="K7" s="302">
        <v>46055</v>
      </c>
      <c r="L7" s="302">
        <v>46082</v>
      </c>
      <c r="M7" s="304">
        <f>L7-K7+1</f>
        <v>28</v>
      </c>
    </row>
    <row r="8" spans="1:13">
      <c r="A8" s="272"/>
      <c r="B8" s="264"/>
      <c r="C8" s="264"/>
      <c r="D8" s="147"/>
      <c r="E8" s="110"/>
      <c r="F8" s="81"/>
      <c r="G8" s="93"/>
      <c r="H8" s="111"/>
      <c r="I8" s="276"/>
      <c r="J8" s="277"/>
      <c r="K8" s="4"/>
      <c r="L8" s="4"/>
      <c r="M8" s="80"/>
    </row>
    <row r="9" spans="1:13" s="298" customFormat="1" ht="45" customHeight="1">
      <c r="A9" s="283" t="s">
        <v>22</v>
      </c>
      <c r="B9" s="292"/>
      <c r="C9" s="292"/>
      <c r="D9" s="292"/>
      <c r="E9" s="295" t="s">
        <v>19</v>
      </c>
      <c r="F9" s="294">
        <v>46070</v>
      </c>
      <c r="G9" s="294">
        <v>46089</v>
      </c>
      <c r="H9" s="295" t="s">
        <v>19</v>
      </c>
      <c r="I9" s="296"/>
      <c r="J9" s="296"/>
      <c r="K9" s="294">
        <v>46070</v>
      </c>
      <c r="L9" s="294">
        <v>46089</v>
      </c>
      <c r="M9" s="297">
        <f>L9-K9+1</f>
        <v>20</v>
      </c>
    </row>
    <row r="10" spans="1:13" s="123" customFormat="1">
      <c r="A10" s="273"/>
      <c r="B10" s="265"/>
      <c r="C10" s="265"/>
      <c r="D10" s="266"/>
      <c r="E10" s="106"/>
      <c r="F10" s="83"/>
      <c r="G10" s="83"/>
      <c r="H10" s="107"/>
      <c r="I10" s="276"/>
      <c r="J10" s="277"/>
      <c r="K10" s="81"/>
      <c r="L10" s="81"/>
      <c r="M10" s="80"/>
    </row>
    <row r="11" spans="1:13" s="312" customFormat="1" ht="64.5" customHeight="1">
      <c r="A11" s="306" t="s">
        <v>63</v>
      </c>
      <c r="B11" s="307" t="s">
        <v>62</v>
      </c>
      <c r="C11" s="307" t="s">
        <v>64</v>
      </c>
      <c r="D11" s="308" t="s">
        <v>62</v>
      </c>
      <c r="E11" s="309">
        <v>46063</v>
      </c>
      <c r="F11" s="309">
        <v>46070</v>
      </c>
      <c r="G11" s="309">
        <v>46103</v>
      </c>
      <c r="H11" s="309" t="s">
        <v>24</v>
      </c>
      <c r="I11" s="310">
        <v>46076</v>
      </c>
      <c r="J11" s="310">
        <v>46103</v>
      </c>
      <c r="K11" s="389"/>
      <c r="L11" s="389"/>
      <c r="M11" s="389"/>
    </row>
    <row r="12" spans="1:13" s="5" customFormat="1">
      <c r="A12" s="273"/>
      <c r="B12" s="265"/>
      <c r="C12" s="265"/>
      <c r="D12" s="266"/>
      <c r="E12" s="110"/>
      <c r="F12" s="94"/>
      <c r="G12" s="94"/>
      <c r="H12" s="107"/>
      <c r="I12" s="276"/>
      <c r="J12" s="277"/>
      <c r="K12" s="81"/>
      <c r="L12" s="81"/>
      <c r="M12" s="80"/>
    </row>
    <row r="13" spans="1:13" s="315" customFormat="1">
      <c r="A13" s="299" t="s">
        <v>25</v>
      </c>
      <c r="B13" s="300" t="s">
        <v>65</v>
      </c>
      <c r="C13" s="300" t="s">
        <v>66</v>
      </c>
      <c r="D13" s="301" t="s">
        <v>62</v>
      </c>
      <c r="E13" s="302">
        <v>46077</v>
      </c>
      <c r="F13" s="302">
        <v>46084</v>
      </c>
      <c r="G13" s="302">
        <v>46159</v>
      </c>
      <c r="H13" s="313" t="s">
        <v>26</v>
      </c>
      <c r="I13" s="314"/>
      <c r="J13" s="314"/>
      <c r="K13" s="302">
        <v>46090</v>
      </c>
      <c r="L13" s="302">
        <v>46110</v>
      </c>
      <c r="M13" s="304">
        <f>L13-K13+1</f>
        <v>21</v>
      </c>
    </row>
    <row r="14" spans="1:13" s="5" customFormat="1">
      <c r="A14" s="273"/>
      <c r="B14" s="265"/>
      <c r="C14" s="265"/>
      <c r="D14" s="266"/>
      <c r="E14" s="110"/>
      <c r="F14" s="81"/>
      <c r="G14" s="81"/>
      <c r="H14" s="111"/>
      <c r="I14" s="278"/>
      <c r="J14" s="279"/>
      <c r="K14" s="81"/>
      <c r="L14" s="81"/>
      <c r="M14" s="80"/>
    </row>
    <row r="15" spans="1:13" s="322" customFormat="1" ht="129.75" customHeight="1">
      <c r="A15" s="316" t="s">
        <v>67</v>
      </c>
      <c r="B15" s="317" t="s">
        <v>68</v>
      </c>
      <c r="C15" s="317" t="s">
        <v>69</v>
      </c>
      <c r="D15" s="318"/>
      <c r="E15" s="319" t="s">
        <v>19</v>
      </c>
      <c r="F15" s="319">
        <v>46112</v>
      </c>
      <c r="G15" s="319">
        <v>46138</v>
      </c>
      <c r="H15" s="319" t="s">
        <v>28</v>
      </c>
      <c r="I15" s="320"/>
      <c r="J15" s="320"/>
      <c r="K15" s="319">
        <v>46112</v>
      </c>
      <c r="L15" s="319">
        <v>46138</v>
      </c>
      <c r="M15" s="321">
        <f>L15-K15+1</f>
        <v>27</v>
      </c>
    </row>
    <row r="16" spans="1:13" s="5" customFormat="1">
      <c r="A16" s="273"/>
      <c r="B16" s="265"/>
      <c r="C16" s="265"/>
      <c r="D16" s="266"/>
      <c r="E16" s="110"/>
      <c r="F16" s="81"/>
      <c r="G16" s="81"/>
      <c r="H16" s="111"/>
      <c r="I16" s="276"/>
      <c r="J16" s="277"/>
      <c r="K16" s="81"/>
      <c r="L16" s="81"/>
      <c r="M16" s="80"/>
    </row>
    <row r="17" spans="1:13" s="324" customFormat="1" ht="192" customHeight="1">
      <c r="A17" s="283" t="s">
        <v>29</v>
      </c>
      <c r="B17" s="292" t="s">
        <v>70</v>
      </c>
      <c r="C17" s="292" t="s">
        <v>71</v>
      </c>
      <c r="D17" s="292" t="s">
        <v>72</v>
      </c>
      <c r="E17" s="294" t="s">
        <v>19</v>
      </c>
      <c r="F17" s="294">
        <v>46133</v>
      </c>
      <c r="G17" s="294">
        <v>46159</v>
      </c>
      <c r="H17" s="294" t="s">
        <v>19</v>
      </c>
      <c r="I17" s="323"/>
      <c r="J17" s="323"/>
      <c r="K17" s="294">
        <v>46133</v>
      </c>
      <c r="L17" s="294">
        <v>46159</v>
      </c>
      <c r="M17" s="297">
        <f>L17-K17+1</f>
        <v>27</v>
      </c>
    </row>
    <row r="18" spans="1:13" s="123" customFormat="1">
      <c r="A18" s="273"/>
      <c r="B18" s="265"/>
      <c r="C18" s="265"/>
      <c r="D18" s="266"/>
      <c r="E18" s="110"/>
      <c r="F18" s="81"/>
      <c r="G18" s="81"/>
      <c r="H18" s="111"/>
      <c r="I18" s="278"/>
      <c r="J18" s="279"/>
      <c r="K18" s="81"/>
      <c r="L18" s="81"/>
      <c r="M18" s="80"/>
    </row>
    <row r="19" spans="1:13" s="331" customFormat="1" ht="176.1" customHeight="1">
      <c r="A19" s="325" t="s">
        <v>30</v>
      </c>
      <c r="B19" s="326" t="s">
        <v>62</v>
      </c>
      <c r="C19" s="326" t="s">
        <v>62</v>
      </c>
      <c r="D19" s="326" t="s">
        <v>73</v>
      </c>
      <c r="E19" s="327">
        <v>46139</v>
      </c>
      <c r="F19" s="327">
        <v>46148</v>
      </c>
      <c r="G19" s="327">
        <v>46251</v>
      </c>
      <c r="H19" s="327" t="s">
        <v>19</v>
      </c>
      <c r="I19" s="328">
        <v>46188</v>
      </c>
      <c r="J19" s="328">
        <v>46251</v>
      </c>
      <c r="K19" s="327">
        <v>46153</v>
      </c>
      <c r="L19" s="329">
        <v>46187</v>
      </c>
      <c r="M19" s="330">
        <f>L19-K19+1</f>
        <v>35</v>
      </c>
    </row>
    <row r="20" spans="1:13" s="123" customFormat="1">
      <c r="A20" s="273"/>
      <c r="B20" s="265"/>
      <c r="C20" s="265"/>
      <c r="D20" s="266"/>
      <c r="E20" s="110"/>
      <c r="F20" s="94"/>
      <c r="G20" s="94"/>
      <c r="H20" s="107"/>
      <c r="I20" s="278"/>
      <c r="J20" s="279"/>
      <c r="K20" s="81"/>
      <c r="L20" s="81"/>
      <c r="M20" s="80"/>
    </row>
    <row r="21" spans="1:13" s="322" customFormat="1" ht="68.099999999999994">
      <c r="A21" s="332" t="s">
        <v>27</v>
      </c>
      <c r="B21" s="333" t="s">
        <v>74</v>
      </c>
      <c r="C21" s="333" t="s">
        <v>75</v>
      </c>
      <c r="D21" s="334" t="s">
        <v>62</v>
      </c>
      <c r="E21" s="319" t="s">
        <v>19</v>
      </c>
      <c r="F21" s="319">
        <v>46177</v>
      </c>
      <c r="G21" s="319">
        <v>46222</v>
      </c>
      <c r="H21" s="335" t="s">
        <v>31</v>
      </c>
      <c r="I21" s="336"/>
      <c r="J21" s="336"/>
      <c r="K21" s="319">
        <v>46177</v>
      </c>
      <c r="L21" s="319">
        <v>46222</v>
      </c>
      <c r="M21" s="321"/>
    </row>
    <row r="22" spans="1:13" s="5" customFormat="1">
      <c r="A22" s="272"/>
      <c r="B22" s="264"/>
      <c r="C22" s="264"/>
      <c r="D22" s="147"/>
      <c r="E22" s="274"/>
      <c r="F22" s="4"/>
      <c r="G22" s="4"/>
      <c r="H22" s="275"/>
      <c r="I22" s="101"/>
      <c r="J22" s="280"/>
      <c r="K22" s="4"/>
      <c r="L22" s="4"/>
      <c r="M22" s="79"/>
    </row>
    <row r="23" spans="1:13" s="312" customFormat="1">
      <c r="A23" s="306" t="s">
        <v>76</v>
      </c>
      <c r="B23" s="307" t="s">
        <v>62</v>
      </c>
      <c r="C23" s="307" t="s">
        <v>62</v>
      </c>
      <c r="D23" s="308" t="s">
        <v>77</v>
      </c>
      <c r="E23" s="309">
        <v>46189</v>
      </c>
      <c r="F23" s="309">
        <v>46196</v>
      </c>
      <c r="G23" s="309">
        <v>46243</v>
      </c>
      <c r="H23" s="337" t="s">
        <v>78</v>
      </c>
      <c r="I23" s="310">
        <v>46202</v>
      </c>
      <c r="J23" s="310">
        <v>46243</v>
      </c>
      <c r="K23" s="309"/>
      <c r="L23" s="309"/>
      <c r="M23" s="311"/>
    </row>
    <row r="24" spans="1:13" s="123" customFormat="1">
      <c r="A24" s="273"/>
      <c r="B24" s="265"/>
      <c r="C24" s="265"/>
      <c r="D24" s="266"/>
      <c r="E24" s="114"/>
      <c r="F24" s="81"/>
      <c r="G24" s="81"/>
      <c r="H24" s="111"/>
      <c r="I24" s="278"/>
      <c r="J24" s="279"/>
      <c r="K24" s="81"/>
      <c r="L24" s="81"/>
      <c r="M24" s="80"/>
    </row>
    <row r="25" spans="1:13" s="339" customFormat="1" ht="59.1" customHeight="1">
      <c r="A25" s="283" t="s">
        <v>79</v>
      </c>
      <c r="B25" s="338" t="s">
        <v>80</v>
      </c>
      <c r="C25" s="292" t="s">
        <v>81</v>
      </c>
      <c r="D25" s="292"/>
      <c r="E25" s="294" t="s">
        <v>19</v>
      </c>
      <c r="F25" s="294">
        <v>46210</v>
      </c>
      <c r="G25" s="294">
        <v>46243</v>
      </c>
      <c r="H25" s="294" t="s">
        <v>19</v>
      </c>
      <c r="I25" s="323"/>
      <c r="J25" s="323"/>
      <c r="K25" s="294">
        <v>46210</v>
      </c>
      <c r="L25" s="294">
        <v>46243</v>
      </c>
      <c r="M25" s="297"/>
    </row>
    <row r="26" spans="1:13" s="123" customFormat="1">
      <c r="A26" s="273"/>
      <c r="B26" s="265"/>
      <c r="C26" s="265"/>
      <c r="D26" s="266"/>
      <c r="E26" s="110"/>
      <c r="F26" s="81"/>
      <c r="G26" s="81"/>
      <c r="H26" s="111"/>
      <c r="I26" s="278"/>
      <c r="J26" s="279"/>
      <c r="K26" s="81"/>
      <c r="L26" s="81"/>
      <c r="M26" s="80"/>
    </row>
    <row r="27" spans="1:13" s="343" customFormat="1" ht="87" customHeight="1">
      <c r="A27" s="299" t="s">
        <v>82</v>
      </c>
      <c r="B27" s="300" t="s">
        <v>62</v>
      </c>
      <c r="C27" s="300" t="s">
        <v>83</v>
      </c>
      <c r="D27" s="301" t="s">
        <v>62</v>
      </c>
      <c r="E27" s="302">
        <v>46217</v>
      </c>
      <c r="F27" s="340">
        <v>46224</v>
      </c>
      <c r="G27" s="341">
        <v>46257</v>
      </c>
      <c r="H27" s="341" t="s">
        <v>34</v>
      </c>
      <c r="I27" s="342"/>
      <c r="J27" s="342"/>
      <c r="K27" s="302">
        <v>46230</v>
      </c>
      <c r="L27" s="302">
        <v>46250</v>
      </c>
      <c r="M27" s="304">
        <f>L27-K27+1</f>
        <v>21</v>
      </c>
    </row>
    <row r="28" spans="1:13" s="5" customFormat="1">
      <c r="A28" s="273"/>
      <c r="B28" s="265"/>
      <c r="C28" s="265"/>
      <c r="D28" s="266"/>
      <c r="E28" s="110"/>
      <c r="F28" s="268"/>
      <c r="G28" s="268"/>
      <c r="H28" s="269"/>
      <c r="I28" s="278"/>
      <c r="J28" s="279"/>
      <c r="K28" s="81"/>
      <c r="L28" s="81"/>
      <c r="M28" s="80"/>
    </row>
    <row r="29" spans="1:13" s="343" customFormat="1" ht="36.950000000000003" customHeight="1">
      <c r="A29" s="299" t="s">
        <v>84</v>
      </c>
      <c r="B29" s="300" t="s">
        <v>85</v>
      </c>
      <c r="C29" s="300" t="s">
        <v>62</v>
      </c>
      <c r="D29" s="301" t="s">
        <v>62</v>
      </c>
      <c r="E29" s="302">
        <v>46217</v>
      </c>
      <c r="F29" s="340">
        <v>46224</v>
      </c>
      <c r="G29" s="341">
        <v>46257</v>
      </c>
      <c r="H29" s="341" t="s">
        <v>34</v>
      </c>
      <c r="I29" s="314">
        <v>46230</v>
      </c>
      <c r="J29" s="314">
        <v>46257</v>
      </c>
      <c r="K29" s="390"/>
      <c r="L29" s="390"/>
      <c r="M29" s="390"/>
    </row>
    <row r="30" spans="1:13" s="5" customFormat="1">
      <c r="A30" s="273"/>
      <c r="B30" s="265"/>
      <c r="C30" s="265"/>
      <c r="D30" s="266"/>
      <c r="E30" s="110"/>
      <c r="F30" s="268"/>
      <c r="G30" s="268"/>
      <c r="H30" s="269"/>
      <c r="I30" s="278"/>
      <c r="J30" s="279"/>
      <c r="K30" s="81"/>
      <c r="L30" s="81"/>
      <c r="M30" s="80"/>
    </row>
    <row r="31" spans="1:13" s="346" customFormat="1" ht="179.25" customHeight="1">
      <c r="A31" s="325" t="s">
        <v>36</v>
      </c>
      <c r="B31" s="326" t="s">
        <v>62</v>
      </c>
      <c r="C31" s="326" t="s">
        <v>62</v>
      </c>
      <c r="D31" s="326" t="s">
        <v>86</v>
      </c>
      <c r="E31" s="327">
        <v>46245</v>
      </c>
      <c r="F31" s="344">
        <v>46251</v>
      </c>
      <c r="G31" s="344">
        <v>46292</v>
      </c>
      <c r="H31" s="345" t="s">
        <v>87</v>
      </c>
      <c r="I31" s="328">
        <v>46272</v>
      </c>
      <c r="J31" s="328">
        <v>46292</v>
      </c>
      <c r="K31" s="327">
        <v>46251</v>
      </c>
      <c r="L31" s="327">
        <v>46271</v>
      </c>
      <c r="M31" s="330">
        <f>L31-K31+1</f>
        <v>21</v>
      </c>
    </row>
    <row r="32" spans="1:13" s="256" customFormat="1">
      <c r="A32" s="273"/>
      <c r="B32" s="265"/>
      <c r="C32" s="265"/>
      <c r="D32" s="266"/>
      <c r="E32" s="110"/>
      <c r="F32" s="270"/>
      <c r="G32" s="270"/>
      <c r="H32" s="271"/>
      <c r="I32" s="278"/>
      <c r="J32" s="279"/>
      <c r="K32" s="81"/>
      <c r="L32" s="81"/>
      <c r="M32" s="80"/>
    </row>
    <row r="33" spans="1:27" s="343" customFormat="1">
      <c r="A33" s="299" t="s">
        <v>88</v>
      </c>
      <c r="B33" s="300"/>
      <c r="C33" s="300" t="s">
        <v>89</v>
      </c>
      <c r="D33" s="301"/>
      <c r="E33" s="302">
        <v>46259</v>
      </c>
      <c r="F33" s="347">
        <v>46266</v>
      </c>
      <c r="G33" s="347">
        <v>46299</v>
      </c>
      <c r="H33" s="348" t="s">
        <v>90</v>
      </c>
      <c r="I33" s="314"/>
      <c r="J33" s="314"/>
      <c r="K33" s="302">
        <v>46272</v>
      </c>
      <c r="L33" s="302">
        <v>46299</v>
      </c>
      <c r="M33" s="304"/>
    </row>
    <row r="34" spans="1:27" s="256" customFormat="1">
      <c r="A34" s="273"/>
      <c r="B34" s="265"/>
      <c r="C34" s="265"/>
      <c r="D34" s="266"/>
      <c r="E34" s="110"/>
      <c r="F34" s="270"/>
      <c r="G34" s="270"/>
      <c r="H34" s="116"/>
      <c r="I34" s="278"/>
      <c r="J34" s="279"/>
      <c r="K34" s="81"/>
      <c r="L34" s="81"/>
      <c r="M34" s="80"/>
    </row>
    <row r="35" spans="1:27" s="339" customFormat="1" ht="51">
      <c r="A35" s="283" t="s">
        <v>91</v>
      </c>
      <c r="B35" s="292" t="s">
        <v>92</v>
      </c>
      <c r="C35" s="292" t="s">
        <v>93</v>
      </c>
      <c r="D35" s="292"/>
      <c r="E35" s="294" t="s">
        <v>19</v>
      </c>
      <c r="F35" s="295">
        <v>46273</v>
      </c>
      <c r="G35" s="295">
        <v>46299</v>
      </c>
      <c r="H35" s="295" t="s">
        <v>19</v>
      </c>
      <c r="I35" s="323"/>
      <c r="J35" s="323"/>
      <c r="K35" s="294">
        <v>46273</v>
      </c>
      <c r="L35" s="294">
        <v>46299</v>
      </c>
      <c r="M35" s="297">
        <f>L35-K35+1</f>
        <v>27</v>
      </c>
    </row>
    <row r="36" spans="1:27" s="5" customFormat="1">
      <c r="A36" s="273"/>
      <c r="B36" s="265"/>
      <c r="C36" s="265"/>
      <c r="D36" s="266"/>
      <c r="E36" s="110"/>
      <c r="F36" s="268"/>
      <c r="G36" s="268"/>
      <c r="H36" s="269"/>
      <c r="I36" s="278"/>
      <c r="J36" s="279"/>
      <c r="K36" s="81"/>
      <c r="L36" s="81"/>
      <c r="M36" s="80"/>
    </row>
    <row r="37" spans="1:27" s="339" customFormat="1">
      <c r="A37" s="283" t="s">
        <v>39</v>
      </c>
      <c r="B37" s="292"/>
      <c r="C37" s="292"/>
      <c r="D37" s="293"/>
      <c r="E37" s="294" t="s">
        <v>19</v>
      </c>
      <c r="F37" s="295">
        <v>46301</v>
      </c>
      <c r="G37" s="295">
        <v>46327</v>
      </c>
      <c r="H37" s="295" t="s">
        <v>19</v>
      </c>
      <c r="I37" s="323"/>
      <c r="J37" s="323"/>
      <c r="K37" s="294">
        <v>46301</v>
      </c>
      <c r="L37" s="294">
        <v>46327</v>
      </c>
      <c r="M37" s="297">
        <f>L37-K37+1</f>
        <v>27</v>
      </c>
    </row>
    <row r="38" spans="1:27" s="123" customFormat="1">
      <c r="A38" s="273"/>
      <c r="B38" s="265"/>
      <c r="C38" s="265"/>
      <c r="D38" s="266"/>
      <c r="E38" s="110"/>
      <c r="F38" s="268"/>
      <c r="G38" s="268"/>
      <c r="H38" s="269"/>
      <c r="I38" s="278"/>
      <c r="J38" s="279"/>
      <c r="K38" s="94"/>
      <c r="L38" s="94"/>
      <c r="M38" s="80"/>
    </row>
    <row r="39" spans="1:27" s="343" customFormat="1">
      <c r="A39" s="356" t="s">
        <v>94</v>
      </c>
      <c r="B39" s="300" t="s">
        <v>62</v>
      </c>
      <c r="C39" s="300" t="s">
        <v>95</v>
      </c>
      <c r="D39" s="301" t="s">
        <v>62</v>
      </c>
      <c r="E39" s="302" t="s">
        <v>19</v>
      </c>
      <c r="F39" s="341">
        <v>46328</v>
      </c>
      <c r="G39" s="341">
        <v>46355</v>
      </c>
      <c r="H39" s="341" t="s">
        <v>19</v>
      </c>
      <c r="I39" s="314"/>
      <c r="J39" s="314"/>
      <c r="K39" s="302">
        <v>46328</v>
      </c>
      <c r="L39" s="302">
        <v>46355</v>
      </c>
      <c r="M39" s="304">
        <f>L39-K39+1</f>
        <v>28</v>
      </c>
    </row>
    <row r="40" spans="1:27" s="257" customFormat="1">
      <c r="A40" s="255"/>
      <c r="B40" s="265"/>
      <c r="C40" s="265"/>
      <c r="D40" s="266"/>
      <c r="E40" s="110"/>
      <c r="F40" s="81"/>
      <c r="G40" s="81"/>
      <c r="H40" s="111"/>
      <c r="I40" s="278"/>
      <c r="J40" s="279"/>
      <c r="K40" s="81"/>
      <c r="L40" s="81"/>
      <c r="M40" s="80"/>
    </row>
    <row r="41" spans="1:27" s="353" customFormat="1" ht="33.950000000000003">
      <c r="A41" s="351" t="s">
        <v>96</v>
      </c>
      <c r="B41" s="355" t="s">
        <v>97</v>
      </c>
      <c r="C41" s="355" t="s">
        <v>62</v>
      </c>
      <c r="D41" s="352" t="s">
        <v>62</v>
      </c>
      <c r="E41" s="294" t="s">
        <v>19</v>
      </c>
      <c r="F41" s="294">
        <v>46328</v>
      </c>
      <c r="G41" s="294">
        <v>46348</v>
      </c>
      <c r="H41" s="294" t="s">
        <v>19</v>
      </c>
      <c r="I41" s="323"/>
      <c r="J41" s="323"/>
      <c r="K41" s="294">
        <v>46328</v>
      </c>
      <c r="L41" s="294">
        <v>46348</v>
      </c>
      <c r="M41" s="297">
        <f>L41-K41+1</f>
        <v>21</v>
      </c>
    </row>
    <row r="42" spans="1:27" s="365" customFormat="1">
      <c r="A42" s="358"/>
      <c r="B42" s="359"/>
      <c r="C42" s="359"/>
      <c r="D42" s="360"/>
      <c r="E42" s="361"/>
      <c r="F42" s="361"/>
      <c r="G42" s="361"/>
      <c r="H42" s="361"/>
      <c r="I42" s="362"/>
      <c r="J42" s="362"/>
      <c r="K42" s="361"/>
      <c r="L42" s="361"/>
      <c r="M42" s="363"/>
      <c r="N42" s="364"/>
      <c r="O42" s="364"/>
      <c r="P42" s="364"/>
      <c r="Q42" s="364"/>
      <c r="R42" s="364"/>
      <c r="S42" s="364"/>
      <c r="T42" s="364"/>
      <c r="U42" s="364"/>
      <c r="V42" s="364"/>
      <c r="W42" s="364"/>
      <c r="X42" s="364"/>
      <c r="Y42" s="364"/>
      <c r="Z42" s="364"/>
      <c r="AA42" s="364"/>
    </row>
    <row r="43" spans="1:27" s="5" customFormat="1" ht="119.1">
      <c r="A43" s="325" t="s">
        <v>36</v>
      </c>
      <c r="B43" s="326" t="s">
        <v>62</v>
      </c>
      <c r="C43" s="326" t="s">
        <v>62</v>
      </c>
      <c r="D43" s="357" t="s">
        <v>98</v>
      </c>
      <c r="E43" s="327">
        <v>46322</v>
      </c>
      <c r="F43" s="344">
        <v>46329</v>
      </c>
      <c r="G43" s="344">
        <v>46383</v>
      </c>
      <c r="H43" s="345" t="s">
        <v>44</v>
      </c>
      <c r="I43" s="328">
        <v>46356</v>
      </c>
      <c r="J43" s="328">
        <v>46383</v>
      </c>
      <c r="K43" s="327">
        <v>46335</v>
      </c>
      <c r="L43" s="327">
        <v>46355</v>
      </c>
      <c r="M43" s="330">
        <f>L43-K43+1</f>
        <v>21</v>
      </c>
      <c r="N43" s="346"/>
      <c r="O43" s="346"/>
      <c r="P43" s="346"/>
      <c r="Q43" s="346"/>
      <c r="R43" s="346"/>
      <c r="S43" s="346"/>
      <c r="T43" s="346"/>
      <c r="U43" s="346"/>
      <c r="V43" s="346"/>
      <c r="W43" s="346"/>
      <c r="X43" s="346"/>
      <c r="Y43" s="346"/>
      <c r="Z43" s="346"/>
      <c r="AA43" s="346"/>
    </row>
    <row r="44" spans="1:27" s="5" customFormat="1">
      <c r="A44" s="366"/>
      <c r="B44" s="367"/>
      <c r="C44" s="367"/>
      <c r="D44" s="368"/>
      <c r="E44" s="361"/>
      <c r="F44" s="369"/>
      <c r="G44" s="369"/>
      <c r="H44" s="370"/>
      <c r="I44" s="362"/>
      <c r="J44" s="362"/>
      <c r="K44" s="361"/>
      <c r="L44" s="361"/>
      <c r="M44" s="363"/>
      <c r="N44" s="371"/>
      <c r="O44" s="371"/>
      <c r="P44" s="371"/>
      <c r="Q44" s="371"/>
      <c r="R44" s="371"/>
      <c r="S44" s="371"/>
      <c r="T44" s="371"/>
      <c r="U44" s="371"/>
      <c r="V44" s="371"/>
      <c r="W44" s="371"/>
      <c r="X44" s="371"/>
      <c r="Y44" s="371"/>
      <c r="Z44" s="371"/>
      <c r="AA44" s="371"/>
    </row>
    <row r="45" spans="1:27" s="350" customFormat="1" ht="111.75" customHeight="1">
      <c r="A45" s="316" t="s">
        <v>99</v>
      </c>
      <c r="B45" s="373" t="s">
        <v>100</v>
      </c>
      <c r="C45" s="372" t="s">
        <v>101</v>
      </c>
      <c r="D45" s="318" t="s">
        <v>62</v>
      </c>
      <c r="E45" s="319" t="s">
        <v>19</v>
      </c>
      <c r="F45" s="349">
        <v>46357</v>
      </c>
      <c r="G45" s="349">
        <v>46383</v>
      </c>
      <c r="H45" s="349" t="s">
        <v>44</v>
      </c>
      <c r="I45" s="336"/>
      <c r="J45" s="336"/>
      <c r="K45" s="319">
        <v>46357</v>
      </c>
      <c r="L45" s="319">
        <v>46383</v>
      </c>
      <c r="M45" s="321">
        <f>L45-K45+1</f>
        <v>27</v>
      </c>
    </row>
    <row r="46" spans="1:27" s="257" customFormat="1">
      <c r="A46" s="255"/>
      <c r="B46" s="265"/>
      <c r="C46" s="265"/>
      <c r="D46" s="266"/>
      <c r="E46" s="110"/>
      <c r="F46" s="81"/>
      <c r="G46" s="81"/>
      <c r="H46" s="111"/>
      <c r="I46" s="278"/>
      <c r="J46" s="279"/>
      <c r="K46" s="81"/>
      <c r="L46" s="81"/>
      <c r="M46" s="80"/>
    </row>
    <row r="47" spans="1:27" s="353" customFormat="1" ht="33.950000000000003">
      <c r="A47" s="351" t="s">
        <v>102</v>
      </c>
      <c r="B47" s="355" t="s">
        <v>97</v>
      </c>
      <c r="C47" s="355" t="s">
        <v>103</v>
      </c>
      <c r="D47" s="352"/>
      <c r="E47" s="294" t="s">
        <v>19</v>
      </c>
      <c r="F47" s="294">
        <v>46363</v>
      </c>
      <c r="G47" s="294">
        <v>46383</v>
      </c>
      <c r="H47" s="294" t="s">
        <v>19</v>
      </c>
      <c r="I47" s="323"/>
      <c r="J47" s="323"/>
      <c r="K47" s="294">
        <v>46363</v>
      </c>
      <c r="L47" s="294">
        <v>46383</v>
      </c>
      <c r="M47" s="297">
        <f>L47-K47+1</f>
        <v>21</v>
      </c>
    </row>
    <row r="48" spans="1:27" ht="109.35" customHeight="1">
      <c r="A48" s="379" t="s">
        <v>104</v>
      </c>
      <c r="B48" s="380"/>
      <c r="C48" s="380"/>
      <c r="D48" s="380"/>
      <c r="E48" s="380"/>
      <c r="F48" s="380"/>
      <c r="G48" s="380"/>
      <c r="H48" s="380"/>
      <c r="I48" s="380"/>
      <c r="J48" s="380"/>
      <c r="K48" s="380"/>
      <c r="L48" s="380"/>
      <c r="M48" s="381"/>
    </row>
    <row r="49" spans="1:13" ht="17.25" customHeight="1">
      <c r="A49" s="258"/>
      <c r="B49" s="252"/>
      <c r="C49" s="252"/>
      <c r="D49" s="252"/>
      <c r="E49" s="259"/>
      <c r="F49" s="260"/>
      <c r="G49" s="260"/>
      <c r="H49" s="260"/>
      <c r="I49" s="281"/>
      <c r="J49" s="281"/>
      <c r="K49" s="252"/>
      <c r="L49" s="252"/>
      <c r="M49" s="261"/>
    </row>
    <row r="50" spans="1:13" ht="17.25" customHeight="1">
      <c r="A50" s="258"/>
      <c r="B50" s="252"/>
      <c r="C50" s="252"/>
      <c r="D50" s="252"/>
      <c r="E50" s="259"/>
      <c r="F50" s="260"/>
      <c r="G50" s="260"/>
      <c r="H50" s="260"/>
      <c r="I50" s="281"/>
      <c r="J50" s="281"/>
      <c r="K50" s="252"/>
      <c r="L50" s="252"/>
      <c r="M50" s="261"/>
    </row>
    <row r="52" spans="1:13" ht="25.35" customHeight="1">
      <c r="A52" s="262"/>
    </row>
    <row r="53" spans="1:13" ht="25.35" customHeight="1">
      <c r="A53" s="263"/>
      <c r="B53" s="251"/>
      <c r="C53" s="251"/>
      <c r="D53" s="5"/>
    </row>
    <row r="54" spans="1:13">
      <c r="A54" s="263"/>
      <c r="B54" s="251"/>
      <c r="C54" s="251"/>
      <c r="D54" s="5"/>
    </row>
  </sheetData>
  <mergeCells count="9">
    <mergeCell ref="A1:M1"/>
    <mergeCell ref="E2:J2"/>
    <mergeCell ref="K2:M2"/>
    <mergeCell ref="A48:M48"/>
    <mergeCell ref="B3:D3"/>
    <mergeCell ref="K3:M3"/>
    <mergeCell ref="I3:J3"/>
    <mergeCell ref="K11:M11"/>
    <mergeCell ref="K29:M29"/>
  </mergeCells>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1BE5-851B-44DC-85A8-0AB4CCDA095F}">
  <sheetPr>
    <tabColor rgb="FFCC0099"/>
    <pageSetUpPr fitToPage="1"/>
  </sheetPr>
  <dimension ref="A1:W43"/>
  <sheetViews>
    <sheetView zoomScale="80" zoomScaleNormal="60" zoomScaleSheetLayoutView="40" workbookViewId="0">
      <pane xSplit="1" ySplit="6" topLeftCell="B13" activePane="bottomRight" state="frozen"/>
      <selection pane="bottomRight" activeCell="E32" sqref="E32"/>
      <selection pane="bottomLeft" activeCell="A11" sqref="A11"/>
      <selection pane="topRight" activeCell="C1" sqref="C1"/>
    </sheetView>
  </sheetViews>
  <sheetFormatPr defaultColWidth="0" defaultRowHeight="0" customHeight="1" zeroHeight="1"/>
  <cols>
    <col min="1" max="1" width="43.42578125" style="1" customWidth="1"/>
    <col min="2" max="2" width="19.42578125" style="26" customWidth="1"/>
    <col min="3" max="5" width="18.42578125" style="24" customWidth="1"/>
    <col min="6" max="6" width="23.42578125" style="24" customWidth="1"/>
    <col min="7" max="7" width="13.42578125" style="1" hidden="1" customWidth="1"/>
    <col min="8" max="10" width="10.42578125" style="1" hidden="1" customWidth="1"/>
    <col min="11" max="14" width="0" style="1" hidden="1" customWidth="1"/>
    <col min="15" max="15" width="13.42578125" style="1" hidden="1" customWidth="1"/>
    <col min="16" max="18" width="10.42578125" style="1" hidden="1" customWidth="1"/>
    <col min="19" max="19" width="0" style="1" hidden="1" customWidth="1"/>
    <col min="20" max="20" width="13.42578125" style="1" hidden="1" customWidth="1"/>
    <col min="21" max="23" width="10.42578125" style="1" hidden="1" customWidth="1"/>
    <col min="24" max="16384" width="8" style="1" hidden="1"/>
  </cols>
  <sheetData>
    <row r="1" spans="1:7" ht="24.95">
      <c r="A1" s="421" t="s">
        <v>105</v>
      </c>
      <c r="B1" s="421"/>
      <c r="C1" s="421"/>
      <c r="D1" s="421"/>
      <c r="E1" s="421"/>
      <c r="F1" s="421"/>
    </row>
    <row r="2" spans="1:7" ht="19.5">
      <c r="A2" s="401" t="s">
        <v>106</v>
      </c>
      <c r="B2" s="401"/>
      <c r="C2" s="401"/>
      <c r="D2" s="401"/>
      <c r="E2" s="401"/>
      <c r="F2" s="401"/>
    </row>
    <row r="3" spans="1:7" ht="19.5">
      <c r="A3" s="422" t="s">
        <v>107</v>
      </c>
      <c r="B3" s="422"/>
      <c r="C3" s="422"/>
      <c r="D3" s="422"/>
      <c r="E3" s="422"/>
      <c r="F3" s="422"/>
    </row>
    <row r="4" spans="1:7" ht="20.100000000000001" thickBot="1">
      <c r="A4" s="2"/>
      <c r="B4" s="5"/>
      <c r="C4" s="3"/>
      <c r="D4" s="3"/>
      <c r="E4" s="3"/>
      <c r="F4" s="3"/>
    </row>
    <row r="5" spans="1:7" ht="19.5">
      <c r="A5" s="29" t="s">
        <v>108</v>
      </c>
      <c r="B5" s="423" t="s">
        <v>109</v>
      </c>
      <c r="C5" s="424"/>
      <c r="D5" s="424"/>
      <c r="E5" s="424"/>
      <c r="F5" s="424"/>
      <c r="G5" s="425"/>
    </row>
    <row r="6" spans="1:7" s="6" customFormat="1" ht="25.35" customHeight="1" thickBot="1">
      <c r="A6" s="30"/>
      <c r="B6" s="426" t="s">
        <v>13</v>
      </c>
      <c r="C6" s="427"/>
      <c r="D6" s="426" t="s">
        <v>14</v>
      </c>
      <c r="E6" s="428"/>
      <c r="F6" s="31" t="s">
        <v>17</v>
      </c>
      <c r="G6" s="32" t="s">
        <v>17</v>
      </c>
    </row>
    <row r="7" spans="1:7" ht="25.35" customHeight="1">
      <c r="A7" s="33" t="s">
        <v>110</v>
      </c>
      <c r="B7" s="34"/>
      <c r="C7" s="35">
        <v>46035</v>
      </c>
      <c r="D7" s="36"/>
      <c r="E7" s="35">
        <v>46048</v>
      </c>
      <c r="F7" s="37">
        <f>E7-C7+1</f>
        <v>14</v>
      </c>
      <c r="G7" s="38">
        <f>F7-C7+1</f>
        <v>-46020</v>
      </c>
    </row>
    <row r="8" spans="1:7" ht="25.35" customHeight="1">
      <c r="A8" s="39"/>
      <c r="B8" s="40"/>
      <c r="C8" s="41"/>
      <c r="D8" s="42"/>
      <c r="E8" s="41"/>
      <c r="F8" s="43"/>
      <c r="G8" s="44"/>
    </row>
    <row r="9" spans="1:7" ht="25.35" customHeight="1">
      <c r="A9" s="45" t="s">
        <v>111</v>
      </c>
      <c r="B9" s="46"/>
      <c r="C9" s="47">
        <v>46049</v>
      </c>
      <c r="D9" s="48"/>
      <c r="E9" s="47">
        <v>46090</v>
      </c>
      <c r="F9" s="48">
        <f>E9-C9+1</f>
        <v>42</v>
      </c>
      <c r="G9" s="50">
        <f>F9-C9+1</f>
        <v>-46006</v>
      </c>
    </row>
    <row r="10" spans="1:7" s="11" customFormat="1" ht="26.25" customHeight="1">
      <c r="A10" s="39"/>
      <c r="B10" s="40"/>
      <c r="C10" s="41"/>
      <c r="D10" s="42"/>
      <c r="E10" s="41"/>
      <c r="F10" s="42"/>
      <c r="G10" s="44"/>
    </row>
    <row r="11" spans="1:7" s="12" customFormat="1" ht="25.35" customHeight="1">
      <c r="A11" s="45" t="s">
        <v>112</v>
      </c>
      <c r="B11" s="46"/>
      <c r="C11" s="47">
        <v>46091</v>
      </c>
      <c r="D11" s="48"/>
      <c r="E11" s="47">
        <v>46111</v>
      </c>
      <c r="F11" s="48">
        <f>E11-C11+1</f>
        <v>21</v>
      </c>
      <c r="G11" s="50">
        <f>F11-C11+1</f>
        <v>-46069</v>
      </c>
    </row>
    <row r="12" spans="1:7" ht="25.35" customHeight="1">
      <c r="A12" s="39"/>
      <c r="B12" s="40"/>
      <c r="C12" s="41"/>
      <c r="D12" s="42"/>
      <c r="E12" s="41"/>
      <c r="F12" s="42"/>
      <c r="G12" s="44"/>
    </row>
    <row r="13" spans="1:7" ht="25.35" customHeight="1">
      <c r="A13" s="45" t="s">
        <v>113</v>
      </c>
      <c r="B13" s="46"/>
      <c r="C13" s="47">
        <v>46112</v>
      </c>
      <c r="D13" s="48"/>
      <c r="E13" s="47">
        <v>46146</v>
      </c>
      <c r="F13" s="48">
        <f>E13-C13+1</f>
        <v>35</v>
      </c>
      <c r="G13" s="50">
        <f>F13-C13+1</f>
        <v>-46076</v>
      </c>
    </row>
    <row r="14" spans="1:7" ht="25.35" customHeight="1">
      <c r="A14" s="39"/>
      <c r="B14" s="40"/>
      <c r="C14" s="41"/>
      <c r="D14" s="42"/>
      <c r="E14" s="41"/>
      <c r="F14" s="42"/>
      <c r="G14" s="44"/>
    </row>
    <row r="15" spans="1:7" ht="25.35" customHeight="1">
      <c r="A15" s="45" t="s">
        <v>114</v>
      </c>
      <c r="B15" s="46"/>
      <c r="C15" s="47">
        <v>46147</v>
      </c>
      <c r="D15" s="48"/>
      <c r="E15" s="47">
        <v>46181</v>
      </c>
      <c r="F15" s="48">
        <f>E15-C15+1</f>
        <v>35</v>
      </c>
      <c r="G15" s="50">
        <f>F15-C15+1</f>
        <v>-46111</v>
      </c>
    </row>
    <row r="16" spans="1:7" ht="25.35" customHeight="1">
      <c r="A16" s="39"/>
      <c r="B16" s="51"/>
      <c r="C16" s="41"/>
      <c r="D16" s="41"/>
      <c r="E16" s="41"/>
      <c r="F16" s="42"/>
      <c r="G16" s="44"/>
    </row>
    <row r="17" spans="1:7" s="12" customFormat="1" ht="25.35" customHeight="1">
      <c r="A17" s="45" t="s">
        <v>115</v>
      </c>
      <c r="B17" s="46"/>
      <c r="C17" s="47">
        <v>46182</v>
      </c>
      <c r="D17" s="48"/>
      <c r="E17" s="47">
        <v>46216</v>
      </c>
      <c r="F17" s="48">
        <f>E17-C17+1</f>
        <v>35</v>
      </c>
      <c r="G17" s="50">
        <f>F17-C17+1</f>
        <v>-46146</v>
      </c>
    </row>
    <row r="18" spans="1:7" ht="25.35" customHeight="1">
      <c r="A18" s="39"/>
      <c r="B18" s="51"/>
      <c r="C18" s="41"/>
      <c r="D18" s="41"/>
      <c r="E18" s="41"/>
      <c r="F18" s="52"/>
      <c r="G18" s="53"/>
    </row>
    <row r="19" spans="1:7" s="12" customFormat="1" ht="25.35" customHeight="1">
      <c r="A19" s="45" t="s">
        <v>116</v>
      </c>
      <c r="B19" s="54"/>
      <c r="C19" s="15">
        <v>46217</v>
      </c>
      <c r="D19" s="48"/>
      <c r="E19" s="15">
        <v>46251</v>
      </c>
      <c r="F19" s="48">
        <f>E19-C19+1</f>
        <v>35</v>
      </c>
      <c r="G19" s="56">
        <f>F19-C19+1</f>
        <v>-46181</v>
      </c>
    </row>
    <row r="20" spans="1:7" ht="25.35" customHeight="1">
      <c r="A20" s="57"/>
      <c r="B20" s="58"/>
      <c r="C20" s="59"/>
      <c r="D20" s="60"/>
      <c r="E20" s="59"/>
      <c r="F20" s="61"/>
      <c r="G20" s="62"/>
    </row>
    <row r="21" spans="1:7" s="12" customFormat="1" ht="25.35" customHeight="1">
      <c r="A21" s="45" t="s">
        <v>117</v>
      </c>
      <c r="B21" s="54"/>
      <c r="C21" s="15">
        <v>46252</v>
      </c>
      <c r="D21" s="63"/>
      <c r="E21" s="15">
        <v>46279</v>
      </c>
      <c r="F21" s="48">
        <f>E21-C21+1</f>
        <v>28</v>
      </c>
      <c r="G21" s="56">
        <f>F21-C21+1</f>
        <v>-46223</v>
      </c>
    </row>
    <row r="22" spans="1:7" s="11" customFormat="1" ht="25.35" customHeight="1">
      <c r="A22" s="39"/>
      <c r="B22" s="51"/>
      <c r="C22" s="41"/>
      <c r="D22" s="41"/>
      <c r="E22" s="41"/>
      <c r="F22" s="52"/>
      <c r="G22" s="53"/>
    </row>
    <row r="23" spans="1:7" ht="25.35" customHeight="1">
      <c r="A23" s="45" t="s">
        <v>118</v>
      </c>
      <c r="B23" s="54"/>
      <c r="C23" s="47">
        <v>46280</v>
      </c>
      <c r="D23" s="48"/>
      <c r="E23" s="47">
        <v>46314</v>
      </c>
      <c r="F23" s="48">
        <f>E23-C23+1</f>
        <v>35</v>
      </c>
      <c r="G23" s="56">
        <f>F23-C23+1</f>
        <v>-46244</v>
      </c>
    </row>
    <row r="24" spans="1:7" s="11" customFormat="1" ht="25.35" customHeight="1">
      <c r="A24" s="39"/>
      <c r="B24" s="51"/>
      <c r="C24" s="41"/>
      <c r="D24" s="41"/>
      <c r="E24" s="41"/>
      <c r="F24" s="52"/>
      <c r="G24" s="53"/>
    </row>
    <row r="25" spans="1:7" ht="25.35" customHeight="1">
      <c r="A25" s="45" t="s">
        <v>119</v>
      </c>
      <c r="B25" s="46"/>
      <c r="C25" s="47">
        <v>46315</v>
      </c>
      <c r="D25" s="48"/>
      <c r="E25" s="47">
        <v>46328</v>
      </c>
      <c r="F25" s="48">
        <f>E25-C25+1</f>
        <v>14</v>
      </c>
      <c r="G25" s="50">
        <v>28</v>
      </c>
    </row>
    <row r="26" spans="1:7" s="11" customFormat="1" ht="25.35" customHeight="1">
      <c r="A26" s="39"/>
      <c r="B26" s="51"/>
      <c r="C26" s="41"/>
      <c r="D26" s="41"/>
      <c r="E26" s="41"/>
      <c r="F26" s="52"/>
      <c r="G26" s="53"/>
    </row>
    <row r="27" spans="1:7" s="12" customFormat="1" ht="25.35" customHeight="1">
      <c r="A27" s="45" t="s">
        <v>110</v>
      </c>
      <c r="B27" s="46"/>
      <c r="C27" s="47">
        <v>46329</v>
      </c>
      <c r="D27" s="48"/>
      <c r="E27" s="47">
        <v>46335</v>
      </c>
      <c r="F27" s="48">
        <f>E27-C27+1</f>
        <v>7</v>
      </c>
      <c r="G27" s="50">
        <v>28</v>
      </c>
    </row>
    <row r="28" spans="1:7" ht="25.35" customHeight="1">
      <c r="A28" s="39"/>
      <c r="B28" s="40"/>
      <c r="C28" s="41"/>
      <c r="D28" s="42"/>
      <c r="E28" s="41"/>
      <c r="F28" s="43"/>
      <c r="G28" s="62"/>
    </row>
    <row r="29" spans="1:7" ht="25.35" customHeight="1">
      <c r="A29" s="45" t="s">
        <v>120</v>
      </c>
      <c r="B29" s="46"/>
      <c r="C29" s="47">
        <v>46336</v>
      </c>
      <c r="D29" s="48"/>
      <c r="E29" s="47">
        <v>46370</v>
      </c>
      <c r="F29" s="48">
        <f>E29-C29+1</f>
        <v>35</v>
      </c>
      <c r="G29" s="64">
        <v>28</v>
      </c>
    </row>
    <row r="30" spans="1:7" s="11" customFormat="1" ht="25.35" customHeight="1">
      <c r="A30" s="39"/>
      <c r="B30" s="40"/>
      <c r="C30" s="41"/>
      <c r="D30" s="42"/>
      <c r="E30" s="41"/>
      <c r="F30" s="43"/>
      <c r="G30" s="44"/>
    </row>
    <row r="31" spans="1:7" s="2" customFormat="1" ht="25.35" customHeight="1">
      <c r="A31" s="45" t="s">
        <v>121</v>
      </c>
      <c r="B31" s="46"/>
      <c r="C31" s="47">
        <v>46371</v>
      </c>
      <c r="D31" s="48"/>
      <c r="E31" s="47">
        <v>46391</v>
      </c>
      <c r="F31" s="48">
        <f>E31-C31+1</f>
        <v>21</v>
      </c>
      <c r="G31" s="64">
        <v>28</v>
      </c>
    </row>
    <row r="32" spans="1:7" s="11" customFormat="1" ht="25.35" customHeight="1">
      <c r="A32" s="65"/>
      <c r="B32" s="66"/>
      <c r="C32" s="67"/>
      <c r="D32" s="68"/>
      <c r="E32" s="67"/>
      <c r="F32" s="69"/>
      <c r="G32" s="70"/>
    </row>
    <row r="33" spans="1:7" s="12" customFormat="1" ht="25.35" customHeight="1">
      <c r="A33" s="45"/>
      <c r="B33" s="46"/>
      <c r="C33" s="47"/>
      <c r="D33" s="48"/>
      <c r="E33" s="47"/>
      <c r="F33" s="49"/>
      <c r="G33" s="64">
        <v>28</v>
      </c>
    </row>
    <row r="34" spans="1:7" s="11" customFormat="1" ht="25.35" customHeight="1" thickBot="1">
      <c r="A34" s="71"/>
      <c r="B34" s="72"/>
      <c r="C34" s="73"/>
      <c r="D34" s="73"/>
      <c r="E34" s="73"/>
      <c r="F34" s="74"/>
      <c r="G34" s="75"/>
    </row>
    <row r="35" spans="1:7" ht="25.35" customHeight="1">
      <c r="A35" s="7"/>
      <c r="B35" s="46"/>
      <c r="C35" s="47"/>
      <c r="D35" s="48"/>
      <c r="E35" s="47"/>
      <c r="F35" s="49"/>
      <c r="G35" s="64">
        <v>28</v>
      </c>
    </row>
    <row r="36" spans="1:7" ht="20.100000000000001" thickBot="1">
      <c r="A36" s="16"/>
      <c r="B36" s="76"/>
      <c r="C36" s="17"/>
      <c r="D36" s="17"/>
      <c r="E36" s="17"/>
      <c r="F36" s="18"/>
      <c r="G36" s="77"/>
    </row>
    <row r="37" spans="1:7" ht="119.25" customHeight="1">
      <c r="A37" s="419" t="s">
        <v>122</v>
      </c>
      <c r="B37" s="420"/>
      <c r="C37" s="420"/>
      <c r="D37" s="420"/>
      <c r="E37" s="420"/>
      <c r="F37" s="420"/>
    </row>
    <row r="38" spans="1:7" ht="17.25" customHeight="1">
      <c r="A38" s="19"/>
      <c r="B38" s="22"/>
      <c r="C38" s="22"/>
      <c r="D38" s="22"/>
      <c r="E38" s="22"/>
      <c r="F38" s="22"/>
    </row>
    <row r="39" spans="1:7" ht="17.25" customHeight="1">
      <c r="A39" s="19"/>
      <c r="B39" s="22"/>
      <c r="C39" s="22"/>
      <c r="D39" s="22"/>
      <c r="E39" s="22"/>
      <c r="F39" s="22"/>
    </row>
    <row r="41" spans="1:7" ht="25.35" hidden="1" customHeight="1">
      <c r="A41" s="27"/>
    </row>
    <row r="42" spans="1:7" ht="25.35" hidden="1" customHeight="1">
      <c r="A42" s="28"/>
    </row>
    <row r="43" spans="1:7" ht="19.5" hidden="1">
      <c r="A43" s="28"/>
    </row>
  </sheetData>
  <mergeCells count="7">
    <mergeCell ref="A37:F37"/>
    <mergeCell ref="A1:F1"/>
    <mergeCell ref="A2:F2"/>
    <mergeCell ref="A3:F3"/>
    <mergeCell ref="B5:G5"/>
    <mergeCell ref="B6:C6"/>
    <mergeCell ref="D6:E6"/>
  </mergeCells>
  <printOptions horizontalCentered="1"/>
  <pageMargins left="0.7" right="0.7" top="0.75" bottom="0.75" header="0.3" footer="0.3"/>
  <pageSetup scale="5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D46B-D43A-4A1E-9904-C65258618592}">
  <sheetPr>
    <tabColor rgb="FF0070C0"/>
    <pageSetUpPr fitToPage="1"/>
  </sheetPr>
  <dimension ref="A1:Y25"/>
  <sheetViews>
    <sheetView topLeftCell="A6" zoomScaleNormal="100" zoomScaleSheetLayoutView="40" workbookViewId="0">
      <pane ySplit="2" topLeftCell="A8" activePane="bottomLeft" state="frozen"/>
      <selection pane="bottomLeft" activeCell="A21" sqref="A21"/>
    </sheetView>
  </sheetViews>
  <sheetFormatPr defaultColWidth="0" defaultRowHeight="24.95"/>
  <cols>
    <col min="1" max="1" width="57.140625" style="159" customWidth="1"/>
    <col min="2" max="2" width="43.42578125" style="142" bestFit="1" customWidth="1"/>
    <col min="3" max="3" width="21.42578125" style="142" bestFit="1" customWidth="1"/>
    <col min="4" max="6" width="36.28515625" style="217" customWidth="1"/>
    <col min="7" max="7" width="83.7109375" style="218" customWidth="1"/>
    <col min="8" max="8" width="64.42578125" style="219" bestFit="1" customWidth="1"/>
    <col min="9" max="9" width="7.42578125" style="219" bestFit="1" customWidth="1"/>
    <col min="10" max="10" width="7.7109375" style="219" bestFit="1" customWidth="1"/>
    <col min="11" max="11" width="8.28515625" style="219" bestFit="1" customWidth="1"/>
    <col min="12" max="12" width="7.7109375" style="219" bestFit="1" customWidth="1"/>
    <col min="13" max="13" width="9.7109375" style="219" customWidth="1"/>
    <col min="14" max="14" width="8.28515625" style="219" customWidth="1"/>
    <col min="15" max="15" width="9.28515625" style="219" customWidth="1"/>
    <col min="16" max="16" width="9.28515625" style="220" customWidth="1"/>
    <col min="17" max="17" width="15.7109375" style="221" customWidth="1"/>
    <col min="18" max="18" width="9.42578125" style="221" customWidth="1"/>
    <col min="19" max="20" width="15.7109375" style="221" customWidth="1"/>
    <col min="21" max="21" width="13.42578125" style="148" hidden="1" customWidth="1"/>
    <col min="22" max="25" width="10.42578125" style="148" hidden="1" customWidth="1"/>
    <col min="26" max="16384" width="8" style="148" hidden="1"/>
  </cols>
  <sheetData>
    <row r="1" spans="1:20" s="136" customFormat="1" ht="34.5" customHeight="1">
      <c r="A1" s="429" t="s">
        <v>123</v>
      </c>
      <c r="B1" s="429"/>
      <c r="C1" s="429"/>
      <c r="D1" s="429"/>
      <c r="E1" s="429"/>
      <c r="F1" s="429"/>
      <c r="G1" s="429"/>
      <c r="H1" s="135"/>
      <c r="I1" s="135"/>
      <c r="J1" s="135"/>
      <c r="K1" s="135"/>
      <c r="L1" s="135"/>
      <c r="M1" s="135"/>
      <c r="N1" s="135"/>
      <c r="O1" s="135"/>
      <c r="P1" s="135"/>
      <c r="Q1" s="135"/>
      <c r="R1" s="135"/>
      <c r="S1" s="135"/>
      <c r="T1" s="135"/>
    </row>
    <row r="2" spans="1:20" s="138" customFormat="1" ht="27.6">
      <c r="A2" s="430" t="s">
        <v>124</v>
      </c>
      <c r="B2" s="430"/>
      <c r="C2" s="430"/>
      <c r="D2" s="430"/>
      <c r="E2" s="430"/>
      <c r="F2" s="430"/>
      <c r="G2" s="430"/>
      <c r="H2" s="137"/>
      <c r="I2" s="137"/>
      <c r="J2" s="137"/>
      <c r="K2" s="137"/>
      <c r="L2" s="137"/>
      <c r="M2" s="137"/>
      <c r="N2" s="137"/>
      <c r="O2" s="137"/>
      <c r="P2" s="137"/>
      <c r="Q2" s="137"/>
      <c r="R2" s="137"/>
      <c r="S2" s="137"/>
      <c r="T2" s="137"/>
    </row>
    <row r="3" spans="1:20" s="138" customFormat="1" ht="27.6">
      <c r="A3" s="431" t="s">
        <v>125</v>
      </c>
      <c r="B3" s="431"/>
      <c r="C3" s="431"/>
      <c r="D3" s="431"/>
      <c r="E3" s="431"/>
      <c r="F3" s="431"/>
      <c r="G3" s="431"/>
      <c r="H3" s="139"/>
      <c r="I3" s="140"/>
      <c r="J3" s="140"/>
      <c r="K3" s="140"/>
      <c r="L3" s="140"/>
      <c r="M3" s="140"/>
      <c r="N3" s="140"/>
      <c r="O3" s="140"/>
      <c r="P3" s="140"/>
      <c r="Q3" s="140"/>
      <c r="R3" s="140"/>
      <c r="S3" s="140"/>
      <c r="T3" s="140"/>
    </row>
    <row r="4" spans="1:20" ht="25.5" thickBot="1">
      <c r="A4" s="141"/>
      <c r="D4" s="143"/>
      <c r="E4" s="143"/>
      <c r="F4" s="143"/>
      <c r="G4" s="144"/>
      <c r="H4" s="145"/>
      <c r="I4" s="145"/>
      <c r="J4" s="145"/>
      <c r="K4" s="145"/>
      <c r="L4" s="145"/>
      <c r="M4" s="145"/>
      <c r="N4" s="145"/>
      <c r="O4" s="145"/>
      <c r="P4" s="146"/>
      <c r="Q4" s="147"/>
      <c r="R4" s="147"/>
      <c r="S4" s="147"/>
      <c r="T4" s="147"/>
    </row>
    <row r="5" spans="1:20" ht="37.35" customHeight="1" thickBot="1">
      <c r="A5" s="141"/>
      <c r="D5" s="432" t="s">
        <v>126</v>
      </c>
      <c r="E5" s="433"/>
      <c r="F5" s="143"/>
      <c r="G5" s="144"/>
      <c r="H5" s="149"/>
      <c r="I5" s="145"/>
      <c r="J5" s="145"/>
      <c r="K5" s="145"/>
      <c r="L5" s="145"/>
      <c r="M5" s="145"/>
      <c r="N5" s="145"/>
      <c r="O5" s="145"/>
      <c r="P5" s="146"/>
      <c r="Q5" s="147"/>
      <c r="R5" s="147"/>
      <c r="S5" s="147"/>
      <c r="T5" s="147"/>
    </row>
    <row r="6" spans="1:20" s="159" customFormat="1">
      <c r="A6" s="150" t="s">
        <v>5</v>
      </c>
      <c r="B6" s="151" t="s">
        <v>127</v>
      </c>
      <c r="C6" s="152" t="s">
        <v>128</v>
      </c>
      <c r="D6" s="153" t="s">
        <v>129</v>
      </c>
      <c r="E6" s="154" t="s">
        <v>130</v>
      </c>
      <c r="F6" s="154" t="s">
        <v>131</v>
      </c>
      <c r="G6" s="155" t="s">
        <v>132</v>
      </c>
      <c r="H6" s="156"/>
      <c r="I6" s="157"/>
      <c r="J6" s="157"/>
      <c r="K6" s="157"/>
      <c r="L6" s="157"/>
      <c r="M6" s="157"/>
      <c r="N6" s="157"/>
      <c r="O6" s="157"/>
      <c r="P6" s="158"/>
      <c r="Q6" s="158"/>
      <c r="R6" s="158"/>
      <c r="S6" s="158"/>
      <c r="T6" s="158"/>
    </row>
    <row r="7" spans="1:20" s="159" customFormat="1" ht="103.5" customHeight="1">
      <c r="A7" s="160"/>
      <c r="B7" s="161" t="s">
        <v>133</v>
      </c>
      <c r="C7" s="162"/>
      <c r="D7" s="434" t="s">
        <v>134</v>
      </c>
      <c r="E7" s="435"/>
      <c r="F7" s="163" t="s">
        <v>135</v>
      </c>
      <c r="G7" s="164"/>
      <c r="H7" s="156"/>
      <c r="I7" s="157"/>
      <c r="J7" s="157"/>
      <c r="K7" s="157"/>
      <c r="L7" s="157"/>
      <c r="M7" s="157"/>
      <c r="N7" s="157"/>
      <c r="O7" s="157"/>
      <c r="P7" s="158"/>
      <c r="Q7" s="158"/>
      <c r="R7" s="158"/>
      <c r="S7" s="158"/>
      <c r="T7" s="158"/>
    </row>
    <row r="8" spans="1:20" s="159" customFormat="1" ht="21.6" customHeight="1">
      <c r="A8" s="225" t="s">
        <v>136</v>
      </c>
      <c r="B8" s="226">
        <v>46020</v>
      </c>
      <c r="C8" s="223"/>
      <c r="D8" s="178">
        <v>46031</v>
      </c>
      <c r="E8" s="179">
        <v>46187</v>
      </c>
      <c r="F8" s="228" t="s">
        <v>137</v>
      </c>
      <c r="G8" s="224"/>
      <c r="H8" s="156"/>
      <c r="I8" s="157"/>
      <c r="J8" s="157"/>
      <c r="K8" s="157"/>
      <c r="L8" s="157"/>
      <c r="M8" s="157"/>
      <c r="N8" s="157"/>
      <c r="O8" s="157"/>
      <c r="P8" s="158"/>
      <c r="Q8" s="158"/>
      <c r="R8" s="158"/>
      <c r="S8" s="158"/>
      <c r="T8" s="158"/>
    </row>
    <row r="9" spans="1:20">
      <c r="A9" s="165"/>
      <c r="B9" s="166"/>
      <c r="C9" s="167"/>
      <c r="D9" s="168"/>
      <c r="E9" s="169"/>
      <c r="F9" s="170"/>
      <c r="G9" s="171"/>
      <c r="H9" s="172"/>
      <c r="I9" s="172"/>
      <c r="J9" s="172"/>
      <c r="K9" s="172"/>
      <c r="L9" s="172"/>
      <c r="M9" s="172"/>
      <c r="N9" s="172"/>
      <c r="O9" s="172"/>
      <c r="P9" s="173"/>
      <c r="Q9" s="174"/>
      <c r="R9" s="173"/>
      <c r="S9" s="174"/>
      <c r="T9" s="173"/>
    </row>
    <row r="10" spans="1:20">
      <c r="A10" s="225" t="s">
        <v>138</v>
      </c>
      <c r="B10" s="176">
        <v>46056</v>
      </c>
      <c r="C10" s="177">
        <v>46063</v>
      </c>
      <c r="D10" s="178">
        <v>46070</v>
      </c>
      <c r="E10" s="179">
        <v>46117</v>
      </c>
      <c r="F10" s="227" t="s">
        <v>139</v>
      </c>
      <c r="G10" s="180"/>
      <c r="H10" s="172"/>
      <c r="I10" s="172"/>
      <c r="J10" s="172"/>
      <c r="K10" s="172"/>
      <c r="L10" s="172"/>
      <c r="M10" s="172"/>
      <c r="N10" s="172"/>
      <c r="O10" s="172"/>
      <c r="P10" s="173"/>
      <c r="Q10" s="174"/>
      <c r="R10" s="173"/>
      <c r="S10" s="174"/>
      <c r="T10" s="173"/>
    </row>
    <row r="11" spans="1:20">
      <c r="A11" s="165"/>
      <c r="B11" s="166"/>
      <c r="C11" s="167"/>
      <c r="D11" s="168"/>
      <c r="E11" s="169"/>
      <c r="F11" s="170"/>
      <c r="G11" s="171"/>
      <c r="H11" s="172"/>
      <c r="I11" s="172"/>
      <c r="J11" s="172"/>
      <c r="K11" s="172"/>
      <c r="L11" s="172"/>
      <c r="M11" s="172"/>
      <c r="N11" s="172"/>
      <c r="O11" s="172"/>
      <c r="P11" s="181"/>
      <c r="Q11" s="174"/>
      <c r="R11" s="174"/>
      <c r="S11" s="174"/>
      <c r="T11" s="174"/>
    </row>
    <row r="12" spans="1:20" ht="29.1" customHeight="1">
      <c r="A12" s="175" t="s">
        <v>140</v>
      </c>
      <c r="B12" s="176">
        <v>46188</v>
      </c>
      <c r="C12" s="177"/>
      <c r="D12" s="178">
        <v>46199</v>
      </c>
      <c r="E12" s="179">
        <v>46250</v>
      </c>
      <c r="F12" s="227" t="s">
        <v>141</v>
      </c>
      <c r="G12" s="182"/>
      <c r="H12" s="172"/>
      <c r="I12" s="172"/>
      <c r="J12" s="172"/>
      <c r="K12" s="172"/>
      <c r="L12" s="172"/>
      <c r="M12" s="172"/>
      <c r="N12" s="172"/>
      <c r="O12" s="172"/>
      <c r="P12" s="173"/>
      <c r="Q12" s="174"/>
      <c r="R12" s="173"/>
      <c r="S12" s="174"/>
      <c r="T12" s="173"/>
    </row>
    <row r="13" spans="1:20">
      <c r="A13" s="165"/>
      <c r="B13" s="183"/>
      <c r="C13" s="184"/>
      <c r="D13" s="168"/>
      <c r="E13" s="169"/>
      <c r="F13" s="185"/>
      <c r="G13" s="171"/>
      <c r="H13" s="172"/>
      <c r="I13" s="172"/>
      <c r="J13" s="172"/>
      <c r="K13" s="172"/>
      <c r="L13" s="172"/>
      <c r="M13" s="172"/>
      <c r="N13" s="172"/>
      <c r="O13" s="172"/>
      <c r="P13" s="173"/>
      <c r="Q13" s="174"/>
      <c r="R13" s="173"/>
      <c r="S13" s="174"/>
      <c r="T13" s="173"/>
    </row>
    <row r="14" spans="1:20">
      <c r="A14" s="175" t="s">
        <v>142</v>
      </c>
      <c r="B14" s="186">
        <v>46251</v>
      </c>
      <c r="C14" s="187"/>
      <c r="D14" s="178">
        <v>46262</v>
      </c>
      <c r="E14" s="179">
        <v>46327</v>
      </c>
      <c r="F14" s="227" t="s">
        <v>143</v>
      </c>
      <c r="G14" s="188"/>
      <c r="H14" s="172"/>
      <c r="I14" s="172"/>
      <c r="J14" s="172"/>
      <c r="K14" s="172"/>
      <c r="L14" s="174"/>
      <c r="M14" s="174"/>
      <c r="N14" s="174"/>
      <c r="O14" s="174"/>
      <c r="P14" s="189"/>
      <c r="Q14" s="189"/>
      <c r="R14" s="189"/>
      <c r="S14" s="189"/>
      <c r="T14" s="189"/>
    </row>
    <row r="15" spans="1:20">
      <c r="A15" s="165"/>
      <c r="B15" s="191"/>
      <c r="C15" s="192"/>
      <c r="D15" s="193"/>
      <c r="E15" s="194"/>
      <c r="F15" s="195"/>
      <c r="G15" s="196"/>
      <c r="H15" s="172"/>
      <c r="I15" s="172"/>
      <c r="J15" s="172"/>
      <c r="K15" s="172"/>
      <c r="L15" s="172"/>
      <c r="M15" s="172"/>
      <c r="N15" s="172"/>
      <c r="O15" s="172"/>
      <c r="P15" s="173"/>
      <c r="Q15" s="174"/>
      <c r="R15" s="173"/>
      <c r="S15" s="174"/>
      <c r="T15" s="173"/>
    </row>
    <row r="16" spans="1:20">
      <c r="A16" s="175" t="s">
        <v>144</v>
      </c>
      <c r="B16" s="197">
        <v>46315</v>
      </c>
      <c r="C16" s="198">
        <v>46321</v>
      </c>
      <c r="D16" s="178">
        <v>46328</v>
      </c>
      <c r="E16" s="179">
        <v>46355</v>
      </c>
      <c r="F16" s="227" t="s">
        <v>145</v>
      </c>
      <c r="G16" s="180"/>
      <c r="H16" s="199"/>
      <c r="I16" s="199"/>
      <c r="J16" s="199"/>
      <c r="K16" s="199"/>
      <c r="L16" s="174"/>
      <c r="M16" s="174"/>
      <c r="N16" s="174"/>
      <c r="O16" s="174"/>
      <c r="P16" s="173"/>
      <c r="Q16" s="174"/>
      <c r="R16" s="173"/>
      <c r="S16" s="174"/>
      <c r="T16" s="173"/>
    </row>
    <row r="17" spans="1:20">
      <c r="A17" s="165"/>
      <c r="B17" s="191"/>
      <c r="C17" s="192"/>
      <c r="D17" s="200"/>
      <c r="E17" s="201"/>
      <c r="F17" s="202"/>
      <c r="G17" s="171"/>
      <c r="H17" s="172"/>
      <c r="I17" s="172"/>
      <c r="J17" s="172"/>
      <c r="K17" s="172"/>
      <c r="L17" s="172"/>
      <c r="M17" s="172"/>
      <c r="N17" s="172"/>
      <c r="O17" s="172"/>
      <c r="P17" s="173"/>
      <c r="Q17" s="174"/>
      <c r="R17" s="173"/>
      <c r="S17" s="174"/>
      <c r="T17" s="173"/>
    </row>
    <row r="18" spans="1:20" s="190" customFormat="1">
      <c r="A18" s="203" t="s">
        <v>146</v>
      </c>
      <c r="B18" s="186">
        <v>46328</v>
      </c>
      <c r="C18" s="187"/>
      <c r="D18" s="178">
        <v>46339</v>
      </c>
      <c r="E18" s="179">
        <v>46383</v>
      </c>
      <c r="F18" s="227" t="s">
        <v>147</v>
      </c>
      <c r="G18" s="180"/>
      <c r="H18" s="172"/>
      <c r="I18" s="172"/>
      <c r="J18" s="172"/>
      <c r="K18" s="172"/>
      <c r="L18" s="172"/>
      <c r="M18" s="172"/>
      <c r="N18" s="172"/>
      <c r="O18" s="172"/>
      <c r="P18" s="173"/>
      <c r="Q18" s="174"/>
      <c r="R18" s="173"/>
      <c r="S18" s="174"/>
      <c r="T18" s="173"/>
    </row>
    <row r="19" spans="1:20" ht="25.5" thickBot="1">
      <c r="A19" s="204"/>
      <c r="B19" s="205"/>
      <c r="C19" s="206"/>
      <c r="D19" s="207"/>
      <c r="E19" s="208"/>
      <c r="F19" s="209"/>
      <c r="G19" s="210"/>
      <c r="H19" s="174"/>
      <c r="I19" s="174"/>
      <c r="J19" s="174"/>
      <c r="K19" s="174"/>
      <c r="L19" s="174"/>
      <c r="M19" s="174"/>
      <c r="N19" s="174"/>
      <c r="O19" s="174"/>
      <c r="P19" s="181"/>
      <c r="Q19" s="174"/>
      <c r="R19" s="174"/>
      <c r="S19" s="174"/>
      <c r="T19" s="174"/>
    </row>
    <row r="20" spans="1:20" ht="17.100000000000001" customHeight="1">
      <c r="A20" s="211"/>
      <c r="B20" s="212"/>
      <c r="C20" s="212"/>
      <c r="D20" s="213"/>
      <c r="E20" s="213"/>
      <c r="F20" s="213"/>
      <c r="G20" s="214"/>
      <c r="H20" s="215"/>
      <c r="I20" s="215"/>
      <c r="J20" s="215"/>
      <c r="K20" s="215"/>
      <c r="L20" s="215"/>
      <c r="M20" s="215"/>
      <c r="N20" s="215"/>
      <c r="O20" s="215"/>
      <c r="P20" s="215"/>
      <c r="Q20" s="215"/>
      <c r="R20" s="215"/>
      <c r="S20" s="215"/>
      <c r="T20" s="215"/>
    </row>
    <row r="21" spans="1:20" ht="17.100000000000001" customHeight="1">
      <c r="A21" s="211"/>
      <c r="B21" s="212"/>
      <c r="C21" s="212"/>
      <c r="D21" s="213"/>
      <c r="E21" s="213"/>
      <c r="F21" s="213"/>
      <c r="G21" s="214"/>
      <c r="H21" s="215"/>
      <c r="I21" s="215"/>
      <c r="J21" s="215"/>
      <c r="K21" s="215"/>
      <c r="L21" s="215"/>
      <c r="M21" s="215"/>
      <c r="N21" s="215"/>
      <c r="O21" s="215"/>
      <c r="P21" s="215"/>
      <c r="Q21" s="215"/>
      <c r="R21" s="215"/>
      <c r="S21" s="215"/>
      <c r="T21" s="215"/>
    </row>
    <row r="23" spans="1:20" ht="25.35" customHeight="1">
      <c r="A23" s="216"/>
    </row>
    <row r="24" spans="1:20" ht="25.35" customHeight="1">
      <c r="A24" s="222"/>
    </row>
    <row r="25" spans="1:20">
      <c r="A25" s="222"/>
    </row>
  </sheetData>
  <mergeCells count="5">
    <mergeCell ref="A1:G1"/>
    <mergeCell ref="A2:G2"/>
    <mergeCell ref="A3:G3"/>
    <mergeCell ref="D5:E5"/>
    <mergeCell ref="D7:E7"/>
  </mergeCells>
  <printOptions horizontalCentered="1"/>
  <pageMargins left="0.7" right="0.7" top="0.75" bottom="0.75" header="0.3" footer="0.3"/>
  <pageSetup scale="3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7C652-4D53-414E-BD6B-75D43CA8C5D8}">
  <sheetPr>
    <tabColor rgb="FFCC0099"/>
    <pageSetUpPr fitToPage="1"/>
  </sheetPr>
  <dimension ref="A1:W43"/>
  <sheetViews>
    <sheetView zoomScale="60" zoomScaleNormal="60" zoomScaleSheetLayoutView="40" workbookViewId="0">
      <pane xSplit="1" ySplit="6" topLeftCell="B16" activePane="bottomRight" state="frozen"/>
      <selection pane="bottomRight" activeCell="D16" sqref="D16"/>
      <selection pane="bottomLeft" activeCell="A11" sqref="A11"/>
      <selection pane="topRight" activeCell="C1" sqref="C1"/>
    </sheetView>
  </sheetViews>
  <sheetFormatPr defaultColWidth="0" defaultRowHeight="0" customHeight="1" zeroHeight="1"/>
  <cols>
    <col min="1" max="1" width="43.42578125" style="1" customWidth="1"/>
    <col min="2" max="2" width="19.42578125" style="26" customWidth="1"/>
    <col min="3" max="5" width="18.42578125" style="24" customWidth="1"/>
    <col min="6" max="6" width="23.42578125" style="24" customWidth="1"/>
    <col min="7" max="7" width="13.42578125" style="1" hidden="1" customWidth="1"/>
    <col min="8" max="10" width="10.42578125" style="1" hidden="1" customWidth="1"/>
    <col min="11" max="14" width="0" style="1" hidden="1" customWidth="1"/>
    <col min="15" max="15" width="13.42578125" style="1" hidden="1" customWidth="1"/>
    <col min="16" max="18" width="10.42578125" style="1" hidden="1" customWidth="1"/>
    <col min="19" max="19" width="0" style="1" hidden="1" customWidth="1"/>
    <col min="20" max="20" width="13.42578125" style="1" hidden="1" customWidth="1"/>
    <col min="21" max="23" width="10.42578125" style="1" hidden="1" customWidth="1"/>
    <col min="24" max="16384" width="8" style="1" hidden="1"/>
  </cols>
  <sheetData>
    <row r="1" spans="1:7" ht="24.95">
      <c r="A1" s="421" t="s">
        <v>148</v>
      </c>
      <c r="B1" s="421"/>
      <c r="C1" s="421"/>
      <c r="D1" s="421"/>
      <c r="E1" s="421"/>
      <c r="F1" s="421"/>
    </row>
    <row r="2" spans="1:7" ht="19.5">
      <c r="A2" s="401" t="s">
        <v>106</v>
      </c>
      <c r="B2" s="401"/>
      <c r="C2" s="401"/>
      <c r="D2" s="401"/>
      <c r="E2" s="401"/>
      <c r="F2" s="401"/>
    </row>
    <row r="3" spans="1:7" ht="19.5">
      <c r="A3" s="422" t="s">
        <v>149</v>
      </c>
      <c r="B3" s="422"/>
      <c r="C3" s="422"/>
      <c r="D3" s="422"/>
      <c r="E3" s="422"/>
      <c r="F3" s="422"/>
    </row>
    <row r="4" spans="1:7" ht="20.100000000000001" thickBot="1">
      <c r="A4" s="2"/>
      <c r="B4" s="5"/>
      <c r="C4" s="3"/>
      <c r="D4" s="3"/>
      <c r="E4" s="3"/>
      <c r="F4" s="3"/>
    </row>
    <row r="5" spans="1:7" ht="19.5">
      <c r="A5" s="29" t="s">
        <v>108</v>
      </c>
      <c r="B5" s="423" t="s">
        <v>109</v>
      </c>
      <c r="C5" s="424"/>
      <c r="D5" s="424"/>
      <c r="E5" s="424"/>
      <c r="F5" s="424"/>
      <c r="G5" s="425"/>
    </row>
    <row r="6" spans="1:7" s="6" customFormat="1" ht="25.35" customHeight="1" thickBot="1">
      <c r="A6" s="30"/>
      <c r="B6" s="426" t="s">
        <v>13</v>
      </c>
      <c r="C6" s="427"/>
      <c r="D6" s="426" t="s">
        <v>14</v>
      </c>
      <c r="E6" s="428"/>
      <c r="F6" s="31" t="s">
        <v>17</v>
      </c>
      <c r="G6" s="32" t="s">
        <v>17</v>
      </c>
    </row>
    <row r="7" spans="1:7" ht="25.35" customHeight="1">
      <c r="A7" s="33" t="s">
        <v>111</v>
      </c>
      <c r="B7" s="34"/>
      <c r="C7" s="35">
        <v>45312</v>
      </c>
      <c r="D7" s="36"/>
      <c r="E7" s="35">
        <v>45346</v>
      </c>
      <c r="F7" s="37">
        <v>35</v>
      </c>
      <c r="G7" s="38">
        <f>F7-C7+1</f>
        <v>-45276</v>
      </c>
    </row>
    <row r="8" spans="1:7" ht="25.35" customHeight="1">
      <c r="A8" s="39"/>
      <c r="B8" s="40"/>
      <c r="C8" s="41"/>
      <c r="D8" s="42"/>
      <c r="E8" s="41"/>
      <c r="F8" s="43"/>
      <c r="G8" s="44"/>
    </row>
    <row r="9" spans="1:7" ht="25.35" customHeight="1">
      <c r="A9" s="45" t="s">
        <v>110</v>
      </c>
      <c r="B9" s="46"/>
      <c r="C9" s="47">
        <v>45347</v>
      </c>
      <c r="D9" s="48"/>
      <c r="E9" s="47">
        <v>45361</v>
      </c>
      <c r="F9" s="49">
        <v>14</v>
      </c>
      <c r="G9" s="50">
        <f>F9-C9+1</f>
        <v>-45332</v>
      </c>
    </row>
    <row r="10" spans="1:7" s="11" customFormat="1" ht="26.25" customHeight="1">
      <c r="A10" s="39"/>
      <c r="B10" s="40"/>
      <c r="C10" s="41"/>
      <c r="D10" s="42"/>
      <c r="E10" s="41"/>
      <c r="F10" s="43"/>
      <c r="G10" s="44"/>
    </row>
    <row r="11" spans="1:7" s="12" customFormat="1" ht="25.35" customHeight="1">
      <c r="A11" s="45" t="s">
        <v>112</v>
      </c>
      <c r="B11" s="46"/>
      <c r="C11" s="47">
        <v>45362</v>
      </c>
      <c r="D11" s="48"/>
      <c r="E11" s="47">
        <v>45382</v>
      </c>
      <c r="F11" s="49">
        <v>21</v>
      </c>
      <c r="G11" s="50">
        <f>F11-C11+1</f>
        <v>-45340</v>
      </c>
    </row>
    <row r="12" spans="1:7" ht="25.35" customHeight="1">
      <c r="A12" s="39"/>
      <c r="B12" s="40"/>
      <c r="C12" s="41"/>
      <c r="D12" s="42"/>
      <c r="E12" s="41"/>
      <c r="F12" s="43"/>
      <c r="G12" s="44"/>
    </row>
    <row r="13" spans="1:7" ht="25.35" customHeight="1">
      <c r="A13" s="45" t="s">
        <v>113</v>
      </c>
      <c r="B13" s="46"/>
      <c r="C13" s="47">
        <v>45383</v>
      </c>
      <c r="D13" s="48"/>
      <c r="E13" s="47">
        <v>45424</v>
      </c>
      <c r="F13" s="49">
        <v>42</v>
      </c>
      <c r="G13" s="50">
        <f>F13-C13+1</f>
        <v>-45340</v>
      </c>
    </row>
    <row r="14" spans="1:7" ht="25.35" customHeight="1">
      <c r="A14" s="39"/>
      <c r="B14" s="40"/>
      <c r="C14" s="41"/>
      <c r="D14" s="42"/>
      <c r="E14" s="41"/>
      <c r="F14" s="43"/>
      <c r="G14" s="44"/>
    </row>
    <row r="15" spans="1:7" ht="25.35" customHeight="1">
      <c r="A15" s="45" t="s">
        <v>114</v>
      </c>
      <c r="B15" s="46"/>
      <c r="C15" s="47">
        <v>45425</v>
      </c>
      <c r="D15" s="48"/>
      <c r="E15" s="47">
        <v>45452</v>
      </c>
      <c r="F15" s="49">
        <v>28</v>
      </c>
      <c r="G15" s="50">
        <f>F15-C15+1</f>
        <v>-45396</v>
      </c>
    </row>
    <row r="16" spans="1:7" ht="25.35" customHeight="1">
      <c r="A16" s="39"/>
      <c r="B16" s="51"/>
      <c r="C16" s="41"/>
      <c r="D16" s="41"/>
      <c r="E16" s="41"/>
      <c r="F16" s="43"/>
      <c r="G16" s="44"/>
    </row>
    <row r="17" spans="1:7" s="12" customFormat="1" ht="25.35" customHeight="1">
      <c r="A17" s="45" t="s">
        <v>115</v>
      </c>
      <c r="B17" s="46"/>
      <c r="C17" s="47">
        <v>45453</v>
      </c>
      <c r="D17" s="48"/>
      <c r="E17" s="47">
        <v>45473</v>
      </c>
      <c r="F17" s="49">
        <v>21</v>
      </c>
      <c r="G17" s="50">
        <f>F17-C17+1</f>
        <v>-45431</v>
      </c>
    </row>
    <row r="18" spans="1:7" ht="25.35" customHeight="1">
      <c r="A18" s="39"/>
      <c r="B18" s="51"/>
      <c r="C18" s="41"/>
      <c r="D18" s="41"/>
      <c r="E18" s="41"/>
      <c r="F18" s="52"/>
      <c r="G18" s="53"/>
    </row>
    <row r="19" spans="1:7" s="12" customFormat="1" ht="25.35" customHeight="1">
      <c r="A19" s="45" t="s">
        <v>116</v>
      </c>
      <c r="B19" s="54"/>
      <c r="C19" s="15">
        <v>45474</v>
      </c>
      <c r="D19" s="48"/>
      <c r="E19" s="15">
        <v>45515</v>
      </c>
      <c r="F19" s="55">
        <v>42</v>
      </c>
      <c r="G19" s="56">
        <f>F19-C19+1</f>
        <v>-45431</v>
      </c>
    </row>
    <row r="20" spans="1:7" ht="25.35" customHeight="1">
      <c r="A20" s="57"/>
      <c r="B20" s="58"/>
      <c r="C20" s="59"/>
      <c r="D20" s="60"/>
      <c r="E20" s="59"/>
      <c r="F20" s="61"/>
      <c r="G20" s="62"/>
    </row>
    <row r="21" spans="1:7" s="12" customFormat="1" ht="25.35" customHeight="1">
      <c r="A21" s="45" t="s">
        <v>117</v>
      </c>
      <c r="B21" s="54"/>
      <c r="C21" s="15">
        <v>45516</v>
      </c>
      <c r="D21" s="63"/>
      <c r="E21" s="15">
        <v>45536</v>
      </c>
      <c r="F21" s="55">
        <v>21</v>
      </c>
      <c r="G21" s="56">
        <f>F21-C21+1</f>
        <v>-45494</v>
      </c>
    </row>
    <row r="22" spans="1:7" s="11" customFormat="1" ht="25.35" customHeight="1">
      <c r="A22" s="39"/>
      <c r="B22" s="51"/>
      <c r="C22" s="41"/>
      <c r="D22" s="41"/>
      <c r="E22" s="41"/>
      <c r="F22" s="52"/>
      <c r="G22" s="53"/>
    </row>
    <row r="23" spans="1:7" ht="25.35" customHeight="1">
      <c r="A23" s="45" t="s">
        <v>118</v>
      </c>
      <c r="B23" s="54"/>
      <c r="C23" s="47">
        <v>45537</v>
      </c>
      <c r="D23" s="48"/>
      <c r="E23" s="47">
        <v>45585</v>
      </c>
      <c r="F23" s="55">
        <v>49</v>
      </c>
      <c r="G23" s="56">
        <f>F23-C23+1</f>
        <v>-45487</v>
      </c>
    </row>
    <row r="24" spans="1:7" s="11" customFormat="1" ht="25.35" customHeight="1">
      <c r="A24" s="39"/>
      <c r="B24" s="51"/>
      <c r="C24" s="41"/>
      <c r="D24" s="41"/>
      <c r="E24" s="41"/>
      <c r="F24" s="52"/>
      <c r="G24" s="53"/>
    </row>
    <row r="25" spans="1:7" ht="25.35" customHeight="1">
      <c r="A25" s="45" t="s">
        <v>119</v>
      </c>
      <c r="B25" s="46"/>
      <c r="C25" s="47">
        <v>45586</v>
      </c>
      <c r="D25" s="48"/>
      <c r="E25" s="47">
        <v>45599</v>
      </c>
      <c r="F25" s="49">
        <v>14</v>
      </c>
      <c r="G25" s="50">
        <v>28</v>
      </c>
    </row>
    <row r="26" spans="1:7" s="11" customFormat="1" ht="25.35" customHeight="1">
      <c r="A26" s="39"/>
      <c r="B26" s="51"/>
      <c r="C26" s="41"/>
      <c r="D26" s="41"/>
      <c r="E26" s="41"/>
      <c r="F26" s="52"/>
      <c r="G26" s="53"/>
    </row>
    <row r="27" spans="1:7" s="12" customFormat="1" ht="25.35" customHeight="1">
      <c r="A27" s="45" t="s">
        <v>120</v>
      </c>
      <c r="B27" s="46"/>
      <c r="C27" s="47">
        <v>45600</v>
      </c>
      <c r="D27" s="48"/>
      <c r="E27" s="47">
        <v>45627</v>
      </c>
      <c r="F27" s="49">
        <v>28</v>
      </c>
      <c r="G27" s="50">
        <v>28</v>
      </c>
    </row>
    <row r="28" spans="1:7" ht="25.35" customHeight="1">
      <c r="A28" s="39"/>
      <c r="B28" s="40"/>
      <c r="C28" s="41"/>
      <c r="D28" s="42"/>
      <c r="E28" s="41"/>
      <c r="F28" s="43"/>
      <c r="G28" s="62"/>
    </row>
    <row r="29" spans="1:7" ht="25.35" customHeight="1">
      <c r="A29" s="45" t="s">
        <v>121</v>
      </c>
      <c r="B29" s="46"/>
      <c r="C29" s="47">
        <v>45628</v>
      </c>
      <c r="D29" s="48"/>
      <c r="E29" s="47">
        <v>45655</v>
      </c>
      <c r="F29" s="49">
        <v>28</v>
      </c>
      <c r="G29" s="64">
        <v>28</v>
      </c>
    </row>
    <row r="30" spans="1:7" s="11" customFormat="1" ht="25.35" customHeight="1">
      <c r="A30" s="39"/>
      <c r="B30" s="40"/>
      <c r="C30" s="41"/>
      <c r="D30" s="42"/>
      <c r="E30" s="41"/>
      <c r="F30" s="43"/>
      <c r="G30" s="44"/>
    </row>
    <row r="31" spans="1:7" s="2" customFormat="1" ht="25.35" customHeight="1">
      <c r="A31" s="45"/>
      <c r="B31" s="46"/>
      <c r="C31" s="47"/>
      <c r="D31" s="48"/>
      <c r="E31" s="47"/>
      <c r="F31" s="49"/>
      <c r="G31" s="64">
        <v>28</v>
      </c>
    </row>
    <row r="32" spans="1:7" s="11" customFormat="1" ht="25.35" customHeight="1">
      <c r="A32" s="65"/>
      <c r="B32" s="66"/>
      <c r="C32" s="67"/>
      <c r="D32" s="68"/>
      <c r="E32" s="67"/>
      <c r="F32" s="69"/>
      <c r="G32" s="70"/>
    </row>
    <row r="33" spans="1:7" s="12" customFormat="1" ht="25.35" customHeight="1">
      <c r="A33" s="45"/>
      <c r="B33" s="46"/>
      <c r="C33" s="47"/>
      <c r="D33" s="48"/>
      <c r="E33" s="47"/>
      <c r="F33" s="49"/>
      <c r="G33" s="64">
        <v>28</v>
      </c>
    </row>
    <row r="34" spans="1:7" s="11" customFormat="1" ht="25.35" customHeight="1" thickBot="1">
      <c r="A34" s="71"/>
      <c r="B34" s="72"/>
      <c r="C34" s="73"/>
      <c r="D34" s="73"/>
      <c r="E34" s="73"/>
      <c r="F34" s="74"/>
      <c r="G34" s="75"/>
    </row>
    <row r="35" spans="1:7" ht="25.35" customHeight="1">
      <c r="A35" s="7"/>
      <c r="B35" s="46"/>
      <c r="C35" s="47"/>
      <c r="D35" s="48"/>
      <c r="E35" s="47"/>
      <c r="F35" s="49"/>
      <c r="G35" s="64">
        <v>28</v>
      </c>
    </row>
    <row r="36" spans="1:7" ht="20.100000000000001" thickBot="1">
      <c r="A36" s="16"/>
      <c r="B36" s="76"/>
      <c r="C36" s="17"/>
      <c r="D36" s="17"/>
      <c r="E36" s="17"/>
      <c r="F36" s="18"/>
      <c r="G36" s="77"/>
    </row>
    <row r="37" spans="1:7" ht="119.25" customHeight="1">
      <c r="A37" s="419" t="s">
        <v>150</v>
      </c>
      <c r="B37" s="420"/>
      <c r="C37" s="420"/>
      <c r="D37" s="420"/>
      <c r="E37" s="420"/>
      <c r="F37" s="420"/>
    </row>
    <row r="38" spans="1:7" ht="17.25" customHeight="1">
      <c r="A38" s="19"/>
      <c r="B38" s="22"/>
      <c r="C38" s="22"/>
      <c r="D38" s="22"/>
      <c r="E38" s="22"/>
      <c r="F38" s="22"/>
    </row>
    <row r="39" spans="1:7" ht="17.25" customHeight="1">
      <c r="A39" s="19"/>
      <c r="B39" s="22"/>
      <c r="C39" s="22"/>
      <c r="D39" s="22"/>
      <c r="E39" s="22"/>
      <c r="F39" s="22"/>
    </row>
    <row r="41" spans="1:7" ht="25.35" hidden="1" customHeight="1">
      <c r="A41" s="27"/>
    </row>
    <row r="42" spans="1:7" ht="25.35" hidden="1" customHeight="1">
      <c r="A42" s="28"/>
    </row>
    <row r="43" spans="1:7" ht="19.5" hidden="1">
      <c r="A43" s="28"/>
    </row>
  </sheetData>
  <mergeCells count="7">
    <mergeCell ref="A37:F37"/>
    <mergeCell ref="A1:F1"/>
    <mergeCell ref="A2:F2"/>
    <mergeCell ref="A3:F3"/>
    <mergeCell ref="B5:G5"/>
    <mergeCell ref="B6:C6"/>
    <mergeCell ref="D6:E6"/>
  </mergeCells>
  <printOptions horizontalCentered="1"/>
  <pageMargins left="0.7" right="0.7" top="0.75" bottom="0.75" header="0.3" footer="0.3"/>
  <pageSetup scale="5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9738f03-01ce-497f-afee-8f9b7e814fb3" xsi:nil="true"/>
    <lcf76f155ced4ddcb4097134ff3c332f xmlns="8ba0e35d-ff03-4106-9951-e8d1bcb322e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00E427CDC8F4B40A700908DD9F296BE" ma:contentTypeVersion="18" ma:contentTypeDescription="Create a new document." ma:contentTypeScope="" ma:versionID="740bb9c76b917fb0ce39762f2148c9ce">
  <xsd:schema xmlns:xsd="http://www.w3.org/2001/XMLSchema" xmlns:xs="http://www.w3.org/2001/XMLSchema" xmlns:p="http://schemas.microsoft.com/office/2006/metadata/properties" xmlns:ns2="8ba0e35d-ff03-4106-9951-e8d1bcb322ec" xmlns:ns3="89738f03-01ce-497f-afee-8f9b7e814fb3" targetNamespace="http://schemas.microsoft.com/office/2006/metadata/properties" ma:root="true" ma:fieldsID="3a0f5de07f7bdd909f49242c2ac27d2b" ns2:_="" ns3:_="">
    <xsd:import namespace="8ba0e35d-ff03-4106-9951-e8d1bcb322ec"/>
    <xsd:import namespace="89738f03-01ce-497f-afee-8f9b7e814fb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a0e35d-ff03-4106-9951-e8d1bcb32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0576126-1159-4e35-a2bd-9606b6c67a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9738f03-01ce-497f-afee-8f9b7e814fb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0795c5d-511f-4f67-8191-85040accb463}" ma:internalName="TaxCatchAll" ma:showField="CatchAllData" ma:web="89738f03-01ce-497f-afee-8f9b7e814f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72B49E-D4F0-4C5F-823F-00D1DE37D87A}"/>
</file>

<file path=customXml/itemProps2.xml><?xml version="1.0" encoding="utf-8"?>
<ds:datastoreItem xmlns:ds="http://schemas.openxmlformats.org/officeDocument/2006/customXml" ds:itemID="{DAFB8E27-FC92-4672-AD5A-38F9573C59CC}"/>
</file>

<file path=customXml/itemProps3.xml><?xml version="1.0" encoding="utf-8"?>
<ds:datastoreItem xmlns:ds="http://schemas.openxmlformats.org/officeDocument/2006/customXml" ds:itemID="{8F2B47CB-EFDA-44F4-9981-5DF7A56CFEEC}"/>
</file>

<file path=docProps/app.xml><?xml version="1.0" encoding="utf-8"?>
<Properties xmlns="http://schemas.openxmlformats.org/officeDocument/2006/extended-properties" xmlns:vt="http://schemas.openxmlformats.org/officeDocument/2006/docPropsVTypes">
  <Application>Microsoft Excel Online</Application>
  <Manager/>
  <Company>McDonald's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Krinsky Jamie</dc:creator>
  <cp:keywords/>
  <dc:description/>
  <cp:lastModifiedBy/>
  <cp:revision/>
  <dcterms:created xsi:type="dcterms:W3CDTF">2018-08-12T15:57:50Z</dcterms:created>
  <dcterms:modified xsi:type="dcterms:W3CDTF">2026-10-12T19:51:07Z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0x010100100E427CDC8F4B40A700908DD9F296BE</vt:lpwstr>
  </property>
  <property fmtid="{D5CDD505-2E9C-101B-9397-08002B2CF9AE}" pid="3" name="_dlc_DocIdItemGuid">
    <vt:lpwstr>3354c8a4-f3fd-4717-8f70-87b08de06e9f</vt:lpwstr>
  </property>
  <property fmtid="{D5CDD505-2E9C-101B-9397-08002B2CF9AE}" pid="4" name="MediaServiceImageTags">
    <vt:lpwstr/>
  </property>
  <property fmtid="{D5CDD505-2E9C-101B-9397-08002B2CF9AE}" pid="5" name="MSIP_Label_0565b320-ce6b-4555-a35f-a54478f5ab2a_Enabled">
    <vt:lpwstr>true</vt:lpwstr>
  </property>
  <property fmtid="{D5CDD505-2E9C-101B-9397-08002B2CF9AE}" pid="6" name="MSIP_Label_0565b320-ce6b-4555-a35f-a54478f5ab2a_SetDate">
    <vt:lpwstr>2026-05-29T14:59:42Z</vt:lpwstr>
  </property>
  <property fmtid="{D5CDD505-2E9C-101B-9397-08002B2CF9AE}" pid="7" name="MSIP_Label_0565b320-ce6b-4555-a35f-a54478f5ab2a_Method">
    <vt:lpwstr>Privileged</vt:lpwstr>
  </property>
  <property fmtid="{D5CDD505-2E9C-101B-9397-08002B2CF9AE}" pid="8" name="MSIP_Label_0565b320-ce6b-4555-a35f-a54478f5ab2a_Name">
    <vt:lpwstr>McD Restricted</vt:lpwstr>
  </property>
  <property fmtid="{D5CDD505-2E9C-101B-9397-08002B2CF9AE}" pid="9" name="MSIP_Label_0565b320-ce6b-4555-a35f-a54478f5ab2a_SiteId">
    <vt:lpwstr>c05b8d5a-b883-4afb-ae93-db5db239911c</vt:lpwstr>
  </property>
  <property fmtid="{D5CDD505-2E9C-101B-9397-08002B2CF9AE}" pid="10" name="MSIP_Label_0565b320-ce6b-4555-a35f-a54478f5ab2a_ActionId">
    <vt:lpwstr>92b39db6-92b5-435c-83b0-0a0aae1e3ca1</vt:lpwstr>
  </property>
  <property fmtid="{D5CDD505-2E9C-101B-9397-08002B2CF9AE}" pid="11" name="MSIP_Label_0565b320-ce6b-4555-a35f-a54478f5ab2a_ContentBits">
    <vt:lpwstr>0</vt:lpwstr>
  </property>
  <property fmtid="{D5CDD505-2E9C-101B-9397-08002B2CF9AE}" pid="12" name="MSIP_Label_0565b320-ce6b-4555-a35f-a54478f5ab2a_Tag">
    <vt:lpwstr>50, 0, 1, 1</vt:lpwstr>
  </property>
</Properties>
</file>