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are.mcd.com/personal/cecilia_milazzo_us_mcd_com/Documents/Desktop/A_US Marketing/USM Website/"/>
    </mc:Choice>
  </mc:AlternateContent>
  <xr:revisionPtr revIDLastSave="0" documentId="8_{E03F47BD-AB32-4501-8026-BC10F7807B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CM" sheetId="16" r:id="rId1"/>
    <sheet name="HCM" sheetId="24" r:id="rId2"/>
    <sheet name="AACM" sheetId="23" r:id="rId3"/>
    <sheet name="ACM" sheetId="2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8" i="24" l="1"/>
  <c r="BC73" i="23"/>
  <c r="H44" i="24" l="1"/>
  <c r="I65" i="23"/>
  <c r="C65" i="23"/>
  <c r="C61" i="16"/>
  <c r="AF41" i="23"/>
  <c r="L31" i="23"/>
  <c r="AJ53" i="23"/>
  <c r="AX8" i="16"/>
  <c r="AP61" i="16"/>
  <c r="U49" i="16" l="1"/>
  <c r="AT31" i="23"/>
  <c r="B3" i="25"/>
  <c r="B2" i="25"/>
  <c r="B3" i="24"/>
  <c r="B2" i="24"/>
  <c r="AQ69" i="24"/>
  <c r="AM69" i="24"/>
  <c r="T69" i="24"/>
  <c r="J69" i="24"/>
  <c r="D69" i="24"/>
  <c r="V57" i="24"/>
  <c r="AG44" i="24"/>
  <c r="AF33" i="24"/>
  <c r="AU33" i="24"/>
  <c r="M33" i="24"/>
  <c r="AT19" i="24"/>
  <c r="C19" i="24"/>
  <c r="Z8" i="24"/>
  <c r="AV57" i="24"/>
  <c r="AK57" i="24"/>
  <c r="P8" i="24"/>
  <c r="AL65" i="23"/>
  <c r="U53" i="23"/>
  <c r="AX18" i="23"/>
  <c r="AS18" i="23"/>
  <c r="M18" i="23"/>
  <c r="B3" i="23"/>
  <c r="Y8" i="23"/>
  <c r="B2" i="23"/>
  <c r="AP65" i="23"/>
  <c r="S65" i="23"/>
  <c r="AU53" i="23"/>
  <c r="G41" i="23"/>
  <c r="AE31" i="23"/>
  <c r="AX8" i="23"/>
  <c r="O8" i="23"/>
  <c r="AL61" i="16"/>
  <c r="S61" i="16"/>
  <c r="I61" i="16"/>
  <c r="AU49" i="16"/>
  <c r="AJ49" i="16"/>
  <c r="BC69" i="16" l="1"/>
  <c r="BD77" i="24"/>
  <c r="BC27" i="23"/>
  <c r="BD53" i="24"/>
  <c r="BD65" i="24"/>
  <c r="BD29" i="24"/>
  <c r="BD85" i="24" s="1"/>
  <c r="BC61" i="23"/>
  <c r="BC49" i="23"/>
  <c r="BC57" i="16"/>
  <c r="BC76" i="23" l="1"/>
  <c r="AF37" i="16"/>
  <c r="G37" i="16"/>
  <c r="AT27" i="16"/>
  <c r="AE27" i="16"/>
  <c r="L27" i="16"/>
  <c r="AO18" i="16"/>
  <c r="X18" i="16"/>
  <c r="Y8" i="16"/>
  <c r="O8" i="16"/>
  <c r="BC23" i="16" l="1"/>
  <c r="BC45" i="16"/>
  <c r="BC78" i="16" l="1"/>
</calcChain>
</file>

<file path=xl/sharedStrings.xml><?xml version="1.0" encoding="utf-8"?>
<sst xmlns="http://schemas.openxmlformats.org/spreadsheetml/2006/main" count="501" uniqueCount="65">
  <si>
    <t>General Consumer Market (GCM) - GRPs A18-49</t>
  </si>
  <si>
    <t>Revision 1  (as of 11.12.2025)</t>
  </si>
  <si>
    <t>2026 US Media Mix Calendar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</si>
  <si>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</si>
  <si>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</si>
  <si>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</si>
  <si>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</si>
  <si>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</si>
  <si>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</si>
  <si>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</si>
  <si>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</si>
  <si>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</si>
  <si>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</si>
  <si>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</si>
  <si>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</si>
  <si>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RELEVANCE</t>
  </si>
  <si>
    <t>Brand Relevance</t>
  </si>
  <si>
    <t>Gaming</t>
  </si>
  <si>
    <t>Linear Video</t>
  </si>
  <si>
    <t>Partnership</t>
  </si>
  <si>
    <t>POD/Dig Vid</t>
  </si>
  <si>
    <t>Social</t>
  </si>
  <si>
    <t>Streaming Audio</t>
  </si>
  <si>
    <t>GCM TBI: LGBTQ+</t>
  </si>
  <si>
    <t>CORE</t>
  </si>
  <si>
    <t>Big Arch</t>
  </si>
  <si>
    <t>Breakfast (July)</t>
  </si>
  <si>
    <t>Breakfast (Nov)</t>
  </si>
  <si>
    <t>Chicken</t>
  </si>
  <si>
    <t>BEVERAGE</t>
  </si>
  <si>
    <t>Beverage</t>
  </si>
  <si>
    <t>VALUE FOR MONEY</t>
  </si>
  <si>
    <t xml:space="preserve">McValue Menu 1 (Jan)
</t>
  </si>
  <si>
    <t xml:space="preserve">McValue Menu 2 (Feb)
</t>
  </si>
  <si>
    <t xml:space="preserve">McValue Menu 3 (Apr)
</t>
  </si>
  <si>
    <t xml:space="preserve">McValue Menu 4 (Sep)
</t>
  </si>
  <si>
    <t>Monopoly</t>
  </si>
  <si>
    <t>Display</t>
  </si>
  <si>
    <t>3PO DELIVERY</t>
  </si>
  <si>
    <t>CARDLYTICS</t>
  </si>
  <si>
    <t>AUDIENCE-LED</t>
  </si>
  <si>
    <t>DEDICATED SEARCH</t>
  </si>
  <si>
    <t>ALWAYS-ON ACQUISITION</t>
  </si>
  <si>
    <t>ALWAYS-ON AUDIENCE LED</t>
  </si>
  <si>
    <t>TOTAL</t>
  </si>
  <si>
    <t>*AOA &amp; Search do not include GRPs across all segments. 2026 planning goal is to plan AOA based on CPRs and show mixes by % of spend and Search is not planned based on GRPs.</t>
  </si>
  <si>
    <t>Hispanic Consumer Market (HCM) - GRPs HA18-49</t>
  </si>
  <si>
    <t>Dec</t>
  </si>
  <si>
    <t>Radio</t>
  </si>
  <si>
    <t>TBI: Hacer</t>
  </si>
  <si>
    <t>Search</t>
  </si>
  <si>
    <t>Spot TV</t>
  </si>
  <si>
    <t>African American Consumer Market (AACM) - GRPs AA18-49</t>
  </si>
  <si>
    <t>TBI: Scholars</t>
  </si>
  <si>
    <t>Asian Consumer Market (ACM)</t>
  </si>
  <si>
    <t xml:space="preserve"> Gaming, Linear Video, Partnership, POD/Dig Video, Social, Streaming Audio</t>
  </si>
  <si>
    <t>TBI: APA Next</t>
  </si>
  <si>
    <t>Depth Work TBD</t>
  </si>
  <si>
    <t>Linear Video, POD/Dig Video, Social, Streaming Audio</t>
  </si>
  <si>
    <t xml:space="preserve"> Linear Video, Partnership, POD/Dig Video, Social, Streaming Audio</t>
  </si>
  <si>
    <t>Linear Video, Partnership, POD/Dig Video, Social, Streaming Audio</t>
  </si>
  <si>
    <t>Gaming, Linear Video, POD/Dig Video, Social, Streaming Audio</t>
  </si>
  <si>
    <t>Gaming, Linear Video, Partnership, POD/Dig Video, Social, Streaming Audio</t>
  </si>
  <si>
    <t xml:space="preserve"> Linear Video, POD/Dig Video, Social, Streaming Audio</t>
  </si>
  <si>
    <t xml:space="preserve"> Gaming, Linear Video, POD/Dig Video, Social, Streaming 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</si>
</sst>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9"/>
      <color theme="1"/>
      <name val="Speedee"/>
      <family val="2"/>
    </font>
    <font>
      <b/>
      <sz val="9"/>
      <color theme="1"/>
      <name val="Speedee"/>
      <family val="2"/>
    </font>
    <font>
      <b/>
      <sz val="11"/>
      <color theme="0"/>
      <name val="Speedee"/>
      <family val="2"/>
    </font>
    <font>
      <b/>
      <sz val="9"/>
      <color theme="1"/>
      <name val="Speedee"/>
      <family val="2"/>
    </font>
    <font>
      <b/>
      <sz val="11"/>
      <name val="Speedee"/>
      <family val="2"/>
    </font>
    <font>
      <b/>
      <sz val="14"/>
      <color theme="1"/>
      <name val="Speedee"/>
      <family val="2"/>
    </font>
    <font>
      <b/>
      <sz val="9"/>
      <color theme="0"/>
      <name val="Speedee"/>
      <family val="2"/>
    </font>
    <font>
      <b/>
      <sz val="9"/>
      <name val="Speedee"/>
      <family val="2"/>
    </font>
    <font>
      <sz val="9"/>
      <name val="Speedee"/>
      <family val="2"/>
    </font>
    <font>
      <i/>
      <sz val="9"/>
      <name val="Speedee"/>
      <family val="2"/>
    </font>
    <font>
      <i/>
      <sz val="9"/>
      <color rgb="FF000000"/>
      <name val="Speedee"/>
      <family val="2"/>
    </font>
    <font>
      <i/>
      <sz val="9"/>
      <color theme="1"/>
      <name val="Speedee"/>
      <family val="2"/>
    </font>
    <font>
      <i/>
      <sz val="9"/>
      <color rgb="FFFF0000"/>
      <name val="Speedee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909"/>
        <bgColor indexed="64"/>
      </patternFill>
    </fill>
    <fill>
      <patternFill patternType="solid">
        <fgColor rgb="FFCA44DC"/>
        <bgColor indexed="64"/>
      </patternFill>
    </fill>
    <fill>
      <patternFill patternType="solid">
        <fgColor rgb="FFFF0000"/>
        <bgColor indexed="64"/>
      </patternFill>
    </fill>
  </fills>
  <borders count="1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4" borderId="4" xfId="0" applyFont="1" applyFill="1" applyBorder="1"/>
    <xf numFmtId="0" fontId="3" fillId="4" borderId="15" xfId="0" applyFont="1" applyFill="1" applyBorder="1"/>
    <xf numFmtId="0" fontId="4" fillId="0" borderId="0" xfId="0" applyFont="1"/>
    <xf numFmtId="0" fontId="1" fillId="0" borderId="8" xfId="0" applyFont="1" applyBorder="1"/>
    <xf numFmtId="0" fontId="5" fillId="0" borderId="14" xfId="0" applyFont="1" applyBorder="1" applyAlignment="1">
      <alignment horizontal="center" vertical="top"/>
    </xf>
    <xf numFmtId="2" fontId="1" fillId="0" borderId="6" xfId="0" applyNumberFormat="1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164" fontId="1" fillId="4" borderId="18" xfId="0" applyNumberFormat="1" applyFont="1" applyFill="1" applyBorder="1"/>
    <xf numFmtId="164" fontId="1" fillId="4" borderId="19" xfId="0" applyNumberFormat="1" applyFont="1" applyFill="1" applyBorder="1"/>
    <xf numFmtId="164" fontId="1" fillId="4" borderId="20" xfId="0" applyNumberFormat="1" applyFont="1" applyFill="1" applyBorder="1"/>
    <xf numFmtId="0" fontId="6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vertical="top"/>
    </xf>
    <xf numFmtId="0" fontId="1" fillId="4" borderId="0" xfId="0" applyFont="1" applyFill="1"/>
    <xf numFmtId="2" fontId="1" fillId="4" borderId="0" xfId="0" applyNumberFormat="1" applyFont="1" applyFill="1" applyAlignment="1">
      <alignment horizontal="left" vertical="top"/>
    </xf>
    <xf numFmtId="2" fontId="1" fillId="4" borderId="0" xfId="0" applyNumberFormat="1" applyFont="1" applyFill="1" applyAlignment="1">
      <alignment vertical="top"/>
    </xf>
    <xf numFmtId="164" fontId="1" fillId="4" borderId="0" xfId="0" applyNumberFormat="1" applyFont="1" applyFill="1" applyAlignment="1">
      <alignment horizontal="center" vertical="top"/>
    </xf>
    <xf numFmtId="0" fontId="2" fillId="0" borderId="12" xfId="0" applyFont="1" applyBorder="1" applyAlignment="1">
      <alignment horizontal="center"/>
    </xf>
    <xf numFmtId="0" fontId="3" fillId="4" borderId="15" xfId="0" applyFont="1" applyFill="1" applyBorder="1" applyAlignment="1">
      <alignment vertical="center"/>
    </xf>
    <xf numFmtId="2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6" borderId="8" xfId="0" applyFont="1" applyFill="1" applyBorder="1" applyAlignment="1">
      <alignment horizontal="left"/>
    </xf>
    <xf numFmtId="0" fontId="1" fillId="6" borderId="8" xfId="0" applyFont="1" applyFill="1" applyBorder="1"/>
    <xf numFmtId="0" fontId="8" fillId="0" borderId="0" xfId="0" applyFont="1" applyAlignment="1">
      <alignment horizontal="center"/>
    </xf>
    <xf numFmtId="0" fontId="9" fillId="0" borderId="0" xfId="0" applyFont="1"/>
    <xf numFmtId="2" fontId="9" fillId="0" borderId="0" xfId="0" applyNumberFormat="1" applyFont="1" applyAlignment="1">
      <alignment vertical="top"/>
    </xf>
    <xf numFmtId="164" fontId="9" fillId="0" borderId="0" xfId="0" applyNumberFormat="1" applyFont="1" applyAlignment="1">
      <alignment horizontal="center" vertical="top"/>
    </xf>
    <xf numFmtId="2" fontId="9" fillId="0" borderId="0" xfId="0" applyNumberFormat="1" applyFont="1"/>
    <xf numFmtId="164" fontId="9" fillId="0" borderId="0" xfId="0" applyNumberFormat="1" applyFont="1" applyAlignment="1">
      <alignment horizontal="center"/>
    </xf>
    <xf numFmtId="0" fontId="8" fillId="0" borderId="0" xfId="0" applyFont="1"/>
    <xf numFmtId="164" fontId="8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center"/>
    </xf>
    <xf numFmtId="0" fontId="8" fillId="6" borderId="0" xfId="0" applyFont="1" applyFill="1"/>
    <xf numFmtId="2" fontId="2" fillId="0" borderId="0" xfId="0" applyNumberFormat="1" applyFont="1" applyAlignment="1">
      <alignment vertical="top"/>
    </xf>
    <xf numFmtId="2" fontId="8" fillId="0" borderId="0" xfId="0" applyNumberFormat="1" applyFont="1" applyAlignment="1">
      <alignment vertical="top"/>
    </xf>
    <xf numFmtId="2" fontId="2" fillId="6" borderId="0" xfId="0" applyNumberFormat="1" applyFont="1" applyFill="1" applyAlignment="1">
      <alignment vertical="top"/>
    </xf>
    <xf numFmtId="0" fontId="1" fillId="0" borderId="0" xfId="0" applyFont="1" applyAlignment="1">
      <alignment horizontal="left"/>
    </xf>
    <xf numFmtId="0" fontId="10" fillId="0" borderId="28" xfId="0" applyFont="1" applyBorder="1"/>
    <xf numFmtId="164" fontId="10" fillId="0" borderId="30" xfId="0" applyNumberFormat="1" applyFont="1" applyBorder="1" applyAlignment="1">
      <alignment horizontal="center"/>
    </xf>
    <xf numFmtId="164" fontId="10" fillId="0" borderId="31" xfId="0" applyNumberFormat="1" applyFont="1" applyBorder="1" applyAlignment="1">
      <alignment horizontal="center"/>
    </xf>
    <xf numFmtId="164" fontId="10" fillId="0" borderId="32" xfId="0" applyNumberFormat="1" applyFont="1" applyBorder="1" applyAlignment="1">
      <alignment horizontal="center"/>
    </xf>
    <xf numFmtId="0" fontId="10" fillId="0" borderId="33" xfId="0" applyFont="1" applyBorder="1"/>
    <xf numFmtId="0" fontId="10" fillId="0" borderId="34" xfId="0" applyFont="1" applyBorder="1"/>
    <xf numFmtId="164" fontId="10" fillId="0" borderId="38" xfId="0" applyNumberFormat="1" applyFont="1" applyBorder="1" applyAlignment="1">
      <alignment horizontal="center"/>
    </xf>
    <xf numFmtId="164" fontId="10" fillId="0" borderId="40" xfId="0" applyNumberFormat="1" applyFont="1" applyBorder="1" applyAlignment="1">
      <alignment horizontal="center"/>
    </xf>
    <xf numFmtId="164" fontId="10" fillId="0" borderId="41" xfId="0" applyNumberFormat="1" applyFont="1" applyBorder="1" applyAlignment="1">
      <alignment horizontal="center"/>
    </xf>
    <xf numFmtId="164" fontId="10" fillId="0" borderId="42" xfId="0" applyNumberFormat="1" applyFont="1" applyBorder="1" applyAlignment="1">
      <alignment horizontal="center"/>
    </xf>
    <xf numFmtId="0" fontId="10" fillId="0" borderId="46" xfId="0" applyFont="1" applyBorder="1"/>
    <xf numFmtId="164" fontId="10" fillId="0" borderId="48" xfId="0" applyNumberFormat="1" applyFont="1" applyBorder="1" applyAlignment="1">
      <alignment horizontal="center"/>
    </xf>
    <xf numFmtId="164" fontId="10" fillId="0" borderId="49" xfId="0" applyNumberFormat="1" applyFont="1" applyBorder="1" applyAlignment="1">
      <alignment horizontal="center"/>
    </xf>
    <xf numFmtId="164" fontId="10" fillId="0" borderId="50" xfId="0" applyNumberFormat="1" applyFont="1" applyBorder="1" applyAlignment="1">
      <alignment horizontal="center"/>
    </xf>
    <xf numFmtId="0" fontId="1" fillId="6" borderId="9" xfId="0" applyFont="1" applyFill="1" applyBorder="1"/>
    <xf numFmtId="0" fontId="1" fillId="6" borderId="0" xfId="0" applyFont="1" applyFill="1" applyAlignment="1">
      <alignment horizontal="left"/>
    </xf>
    <xf numFmtId="2" fontId="7" fillId="6" borderId="4" xfId="0" applyNumberFormat="1" applyFont="1" applyFill="1" applyBorder="1" applyAlignment="1">
      <alignment vertical="top"/>
    </xf>
    <xf numFmtId="0" fontId="1" fillId="6" borderId="0" xfId="0" applyFont="1" applyFill="1"/>
    <xf numFmtId="0" fontId="8" fillId="0" borderId="4" xfId="0" applyFont="1" applyBorder="1"/>
    <xf numFmtId="0" fontId="1" fillId="6" borderId="4" xfId="0" applyFont="1" applyFill="1" applyBorder="1"/>
    <xf numFmtId="0" fontId="1" fillId="0" borderId="4" xfId="0" applyFont="1" applyBorder="1"/>
    <xf numFmtId="164" fontId="10" fillId="0" borderId="0" xfId="0" applyNumberFormat="1" applyFont="1" applyAlignment="1">
      <alignment horizontal="center"/>
    </xf>
    <xf numFmtId="0" fontId="10" fillId="0" borderId="58" xfId="0" applyFont="1" applyBorder="1"/>
    <xf numFmtId="0" fontId="10" fillId="0" borderId="16" xfId="0" applyFont="1" applyBorder="1"/>
    <xf numFmtId="0" fontId="10" fillId="0" borderId="17" xfId="0" applyFont="1" applyBorder="1"/>
    <xf numFmtId="164" fontId="10" fillId="0" borderId="60" xfId="0" applyNumberFormat="1" applyFont="1" applyBorder="1" applyAlignment="1">
      <alignment horizontal="center"/>
    </xf>
    <xf numFmtId="164" fontId="10" fillId="0" borderId="61" xfId="0" applyNumberFormat="1" applyFont="1" applyBorder="1" applyAlignment="1">
      <alignment horizontal="center"/>
    </xf>
    <xf numFmtId="164" fontId="10" fillId="0" borderId="62" xfId="0" applyNumberFormat="1" applyFont="1" applyBorder="1" applyAlignment="1">
      <alignment horizontal="center"/>
    </xf>
    <xf numFmtId="164" fontId="10" fillId="0" borderId="63" xfId="0" applyNumberFormat="1" applyFont="1" applyBorder="1" applyAlignment="1">
      <alignment horizontal="center"/>
    </xf>
    <xf numFmtId="164" fontId="10" fillId="0" borderId="71" xfId="0" applyNumberFormat="1" applyFont="1" applyBorder="1" applyAlignment="1">
      <alignment horizontal="center"/>
    </xf>
    <xf numFmtId="164" fontId="12" fillId="0" borderId="43" xfId="0" applyNumberFormat="1" applyFont="1" applyBorder="1" applyAlignment="1">
      <alignment horizontal="center"/>
    </xf>
    <xf numFmtId="164" fontId="12" fillId="0" borderId="44" xfId="0" applyNumberFormat="1" applyFont="1" applyBorder="1" applyAlignment="1">
      <alignment horizontal="center"/>
    </xf>
    <xf numFmtId="164" fontId="12" fillId="0" borderId="45" xfId="0" applyNumberFormat="1" applyFont="1" applyBorder="1" applyAlignment="1">
      <alignment horizontal="center"/>
    </xf>
    <xf numFmtId="0" fontId="10" fillId="0" borderId="23" xfId="0" applyFont="1" applyBorder="1"/>
    <xf numFmtId="164" fontId="10" fillId="0" borderId="76" xfId="0" applyNumberFormat="1" applyFont="1" applyBorder="1" applyAlignment="1">
      <alignment horizontal="center"/>
    </xf>
    <xf numFmtId="164" fontId="10" fillId="0" borderId="77" xfId="0" applyNumberFormat="1" applyFont="1" applyBorder="1" applyAlignment="1">
      <alignment horizontal="center"/>
    </xf>
    <xf numFmtId="164" fontId="10" fillId="0" borderId="10" xfId="0" applyNumberFormat="1" applyFont="1" applyBorder="1" applyAlignment="1">
      <alignment horizontal="center"/>
    </xf>
    <xf numFmtId="164" fontId="10" fillId="0" borderId="78" xfId="0" applyNumberFormat="1" applyFont="1" applyBorder="1" applyAlignment="1">
      <alignment horizontal="center"/>
    </xf>
    <xf numFmtId="164" fontId="10" fillId="0" borderId="54" xfId="0" applyNumberFormat="1" applyFont="1" applyBorder="1" applyAlignment="1">
      <alignment horizontal="center"/>
    </xf>
    <xf numFmtId="164" fontId="12" fillId="0" borderId="48" xfId="0" applyNumberFormat="1" applyFont="1" applyBorder="1" applyAlignment="1">
      <alignment horizontal="center"/>
    </xf>
    <xf numFmtId="164" fontId="12" fillId="0" borderId="49" xfId="0" applyNumberFormat="1" applyFont="1" applyBorder="1" applyAlignment="1">
      <alignment horizontal="center"/>
    </xf>
    <xf numFmtId="164" fontId="12" fillId="0" borderId="50" xfId="0" applyNumberFormat="1" applyFont="1" applyBorder="1" applyAlignment="1">
      <alignment horizontal="center"/>
    </xf>
    <xf numFmtId="0" fontId="13" fillId="0" borderId="16" xfId="0" applyFont="1" applyBorder="1"/>
    <xf numFmtId="0" fontId="10" fillId="0" borderId="86" xfId="0" applyFont="1" applyBorder="1"/>
    <xf numFmtId="0" fontId="10" fillId="0" borderId="87" xfId="0" applyFont="1" applyBorder="1"/>
    <xf numFmtId="164" fontId="10" fillId="0" borderId="93" xfId="0" applyNumberFormat="1" applyFont="1" applyBorder="1" applyAlignment="1">
      <alignment horizontal="center"/>
    </xf>
    <xf numFmtId="164" fontId="1" fillId="0" borderId="1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10" fillId="0" borderId="103" xfId="0" applyNumberFormat="1" applyFont="1" applyBorder="1" applyAlignment="1">
      <alignment horizontal="center"/>
    </xf>
    <xf numFmtId="164" fontId="10" fillId="0" borderId="104" xfId="0" applyNumberFormat="1" applyFont="1" applyBorder="1" applyAlignment="1">
      <alignment horizontal="center"/>
    </xf>
    <xf numFmtId="164" fontId="10" fillId="0" borderId="105" xfId="0" applyNumberFormat="1" applyFont="1" applyBorder="1" applyAlignment="1">
      <alignment horizontal="center"/>
    </xf>
    <xf numFmtId="164" fontId="10" fillId="0" borderId="108" xfId="0" applyNumberFormat="1" applyFont="1" applyBorder="1" applyAlignment="1">
      <alignment horizontal="center"/>
    </xf>
    <xf numFmtId="0" fontId="10" fillId="0" borderId="58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09" xfId="0" applyFont="1" applyBorder="1"/>
    <xf numFmtId="0" fontId="3" fillId="4" borderId="0" xfId="0" applyFont="1" applyFill="1"/>
    <xf numFmtId="0" fontId="5" fillId="0" borderId="6" xfId="0" applyFont="1" applyBorder="1" applyAlignment="1">
      <alignment horizontal="center" vertical="top"/>
    </xf>
    <xf numFmtId="0" fontId="2" fillId="0" borderId="11" xfId="0" applyFont="1" applyBorder="1" applyAlignment="1">
      <alignment horizontal="center" wrapText="1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10" fillId="0" borderId="64" xfId="0" applyFont="1" applyBorder="1"/>
    <xf numFmtId="164" fontId="2" fillId="6" borderId="8" xfId="0" applyNumberFormat="1" applyFont="1" applyFill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4" xfId="0" applyFont="1" applyBorder="1"/>
    <xf numFmtId="0" fontId="2" fillId="0" borderId="8" xfId="0" applyFont="1" applyBorder="1" applyAlignment="1">
      <alignment vertical="top"/>
    </xf>
    <xf numFmtId="0" fontId="2" fillId="0" borderId="8" xfId="0" applyFont="1" applyBorder="1"/>
    <xf numFmtId="0" fontId="2" fillId="0" borderId="8" xfId="0" applyFont="1" applyBorder="1" applyAlignment="1">
      <alignment vertical="center"/>
    </xf>
    <xf numFmtId="164" fontId="2" fillId="0" borderId="0" xfId="0" applyNumberFormat="1" applyFont="1" applyAlignment="1">
      <alignment vertical="top"/>
    </xf>
    <xf numFmtId="164" fontId="10" fillId="0" borderId="24" xfId="0" applyNumberFormat="1" applyFont="1" applyBorder="1" applyAlignment="1">
      <alignment horizontal="center"/>
    </xf>
    <xf numFmtId="0" fontId="10" fillId="0" borderId="119" xfId="0" applyFont="1" applyBorder="1"/>
    <xf numFmtId="164" fontId="10" fillId="0" borderId="120" xfId="0" applyNumberFormat="1" applyFont="1" applyBorder="1" applyAlignment="1">
      <alignment horizontal="center"/>
    </xf>
    <xf numFmtId="164" fontId="10" fillId="0" borderId="121" xfId="0" applyNumberFormat="1" applyFont="1" applyBorder="1" applyAlignment="1">
      <alignment horizontal="center"/>
    </xf>
    <xf numFmtId="164" fontId="10" fillId="0" borderId="122" xfId="0" applyNumberFormat="1" applyFont="1" applyBorder="1" applyAlignment="1">
      <alignment horizontal="center"/>
    </xf>
    <xf numFmtId="0" fontId="12" fillId="0" borderId="0" xfId="0" applyFont="1"/>
    <xf numFmtId="0" fontId="14" fillId="0" borderId="0" xfId="0" applyFont="1"/>
    <xf numFmtId="0" fontId="15" fillId="0" borderId="0" xfId="0" applyFont="1"/>
    <xf numFmtId="0" fontId="10" fillId="0" borderId="124" xfId="0" applyFont="1" applyBorder="1"/>
    <xf numFmtId="164" fontId="10" fillId="0" borderId="123" xfId="0" applyNumberFormat="1" applyFont="1" applyBorder="1" applyAlignment="1">
      <alignment horizontal="center"/>
    </xf>
    <xf numFmtId="164" fontId="12" fillId="0" borderId="89" xfId="0" applyNumberFormat="1" applyFont="1" applyBorder="1" applyAlignment="1">
      <alignment horizontal="center"/>
    </xf>
    <xf numFmtId="164" fontId="12" fillId="0" borderId="128" xfId="0" applyNumberFormat="1" applyFont="1" applyBorder="1" applyAlignment="1">
      <alignment horizontal="center"/>
    </xf>
    <xf numFmtId="0" fontId="1" fillId="0" borderId="64" xfId="0" applyFont="1" applyBorder="1"/>
    <xf numFmtId="164" fontId="10" fillId="0" borderId="134" xfId="0" applyNumberFormat="1" applyFont="1" applyBorder="1" applyAlignment="1">
      <alignment horizontal="center"/>
    </xf>
    <xf numFmtId="0" fontId="12" fillId="0" borderId="64" xfId="0" applyFont="1" applyBorder="1"/>
    <xf numFmtId="164" fontId="10" fillId="0" borderId="28" xfId="0" applyNumberFormat="1" applyFont="1" applyBorder="1"/>
    <xf numFmtId="164" fontId="10" fillId="0" borderId="29" xfId="0" applyNumberFormat="1" applyFont="1" applyBorder="1"/>
    <xf numFmtId="164" fontId="10" fillId="0" borderId="85" xfId="0" applyNumberFormat="1" applyFont="1" applyBorder="1" applyAlignment="1">
      <alignment horizontal="center"/>
    </xf>
    <xf numFmtId="164" fontId="10" fillId="0" borderId="136" xfId="0" applyNumberFormat="1" applyFont="1" applyBorder="1" applyAlignment="1">
      <alignment horizontal="center"/>
    </xf>
    <xf numFmtId="0" fontId="10" fillId="0" borderId="137" xfId="0" applyFont="1" applyBorder="1"/>
    <xf numFmtId="2" fontId="2" fillId="0" borderId="0" xfId="0" applyNumberFormat="1" applyFont="1" applyAlignment="1">
      <alignment vertical="top" wrapText="1"/>
    </xf>
    <xf numFmtId="164" fontId="10" fillId="0" borderId="0" xfId="0" applyNumberFormat="1" applyFont="1"/>
    <xf numFmtId="0" fontId="13" fillId="0" borderId="87" xfId="0" applyFont="1" applyBorder="1"/>
    <xf numFmtId="164" fontId="10" fillId="0" borderId="138" xfId="0" applyNumberFormat="1" applyFont="1" applyBorder="1" applyAlignment="1">
      <alignment horizontal="center"/>
    </xf>
    <xf numFmtId="0" fontId="1" fillId="0" borderId="90" xfId="0" applyFont="1" applyBorder="1"/>
    <xf numFmtId="164" fontId="10" fillId="0" borderId="90" xfId="0" applyNumberFormat="1" applyFont="1" applyBorder="1" applyAlignment="1">
      <alignment horizontal="center"/>
    </xf>
    <xf numFmtId="0" fontId="13" fillId="0" borderId="0" xfId="0" applyFont="1"/>
    <xf numFmtId="0" fontId="10" fillId="0" borderId="26" xfId="0" applyFont="1" applyBorder="1"/>
    <xf numFmtId="0" fontId="10" fillId="0" borderId="25" xfId="0" applyFont="1" applyBorder="1"/>
    <xf numFmtId="164" fontId="2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0" fillId="0" borderId="39" xfId="0" applyFont="1" applyBorder="1"/>
    <xf numFmtId="0" fontId="10" fillId="0" borderId="29" xfId="0" applyFont="1" applyBorder="1"/>
    <xf numFmtId="0" fontId="11" fillId="0" borderId="29" xfId="0" applyFont="1" applyBorder="1"/>
    <xf numFmtId="0" fontId="10" fillId="0" borderId="27" xfId="0" applyFont="1" applyBorder="1"/>
    <xf numFmtId="0" fontId="10" fillId="0" borderId="0" xfId="0" applyFont="1"/>
    <xf numFmtId="0" fontId="11" fillId="0" borderId="27" xfId="0" applyFont="1" applyBorder="1"/>
    <xf numFmtId="164" fontId="2" fillId="0" borderId="1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2" fontId="2" fillId="2" borderId="66" xfId="0" applyNumberFormat="1" applyFont="1" applyFill="1" applyBorder="1" applyAlignment="1">
      <alignment horizontal="center" vertical="top"/>
    </xf>
    <xf numFmtId="2" fontId="2" fillId="2" borderId="67" xfId="0" applyNumberFormat="1" applyFont="1" applyFill="1" applyBorder="1" applyAlignment="1">
      <alignment horizontal="center" vertical="top"/>
    </xf>
    <xf numFmtId="0" fontId="3" fillId="7" borderId="13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2" fontId="2" fillId="7" borderId="51" xfId="0" applyNumberFormat="1" applyFont="1" applyFill="1" applyBorder="1" applyAlignment="1">
      <alignment horizontal="center" vertical="top"/>
    </xf>
    <xf numFmtId="2" fontId="2" fillId="7" borderId="52" xfId="0" applyNumberFormat="1" applyFont="1" applyFill="1" applyBorder="1" applyAlignment="1">
      <alignment horizontal="center" vertical="top"/>
    </xf>
    <xf numFmtId="2" fontId="2" fillId="7" borderId="53" xfId="0" applyNumberFormat="1" applyFont="1" applyFill="1" applyBorder="1" applyAlignment="1">
      <alignment horizontal="center" vertical="top"/>
    </xf>
    <xf numFmtId="164" fontId="8" fillId="0" borderId="39" xfId="0" applyNumberFormat="1" applyFont="1" applyBorder="1" applyAlignment="1">
      <alignment horizontal="center"/>
    </xf>
    <xf numFmtId="164" fontId="8" fillId="0" borderId="28" xfId="0" applyNumberFormat="1" applyFont="1" applyBorder="1" applyAlignment="1">
      <alignment horizontal="center"/>
    </xf>
    <xf numFmtId="164" fontId="8" fillId="0" borderId="54" xfId="0" applyNumberFormat="1" applyFont="1" applyBorder="1" applyAlignment="1">
      <alignment horizontal="center"/>
    </xf>
    <xf numFmtId="2" fontId="2" fillId="7" borderId="55" xfId="0" applyNumberFormat="1" applyFont="1" applyFill="1" applyBorder="1" applyAlignment="1">
      <alignment horizontal="center" vertical="top"/>
    </xf>
    <xf numFmtId="2" fontId="2" fillId="7" borderId="56" xfId="0" applyNumberFormat="1" applyFont="1" applyFill="1" applyBorder="1" applyAlignment="1">
      <alignment horizontal="center" vertical="top"/>
    </xf>
    <xf numFmtId="2" fontId="2" fillId="7" borderId="57" xfId="0" applyNumberFormat="1" applyFont="1" applyFill="1" applyBorder="1" applyAlignment="1">
      <alignment horizontal="center" vertical="top"/>
    </xf>
    <xf numFmtId="164" fontId="8" fillId="0" borderId="58" xfId="0" applyNumberFormat="1" applyFont="1" applyBorder="1" applyAlignment="1">
      <alignment horizontal="center"/>
    </xf>
    <xf numFmtId="164" fontId="8" fillId="0" borderId="23" xfId="0" applyNumberFormat="1" applyFont="1" applyBorder="1" applyAlignment="1">
      <alignment horizontal="center"/>
    </xf>
    <xf numFmtId="164" fontId="8" fillId="0" borderId="59" xfId="0" applyNumberFormat="1" applyFont="1" applyBorder="1" applyAlignment="1">
      <alignment horizontal="center"/>
    </xf>
    <xf numFmtId="2" fontId="2" fillId="7" borderId="35" xfId="0" applyNumberFormat="1" applyFont="1" applyFill="1" applyBorder="1" applyAlignment="1">
      <alignment horizontal="center" vertical="top"/>
    </xf>
    <xf numFmtId="2" fontId="2" fillId="7" borderId="2" xfId="0" applyNumberFormat="1" applyFont="1" applyFill="1" applyBorder="1" applyAlignment="1">
      <alignment horizontal="center" vertical="top"/>
    </xf>
    <xf numFmtId="2" fontId="2" fillId="7" borderId="36" xfId="0" applyNumberFormat="1" applyFont="1" applyFill="1" applyBorder="1" applyAlignment="1">
      <alignment horizontal="center" vertical="top"/>
    </xf>
    <xf numFmtId="164" fontId="8" fillId="0" borderId="46" xfId="0" applyNumberFormat="1" applyFont="1" applyBorder="1" applyAlignment="1">
      <alignment horizontal="center"/>
    </xf>
    <xf numFmtId="164" fontId="8" fillId="0" borderId="33" xfId="0" applyNumberFormat="1" applyFont="1" applyBorder="1" applyAlignment="1">
      <alignment horizontal="center"/>
    </xf>
    <xf numFmtId="164" fontId="8" fillId="0" borderId="47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2" fontId="7" fillId="3" borderId="5" xfId="0" applyNumberFormat="1" applyFont="1" applyFill="1" applyBorder="1" applyAlignment="1">
      <alignment horizontal="center" vertical="center"/>
    </xf>
    <xf numFmtId="2" fontId="7" fillId="3" borderId="6" xfId="0" applyNumberFormat="1" applyFont="1" applyFill="1" applyBorder="1" applyAlignment="1">
      <alignment horizontal="center" vertical="center"/>
    </xf>
    <xf numFmtId="2" fontId="7" fillId="3" borderId="18" xfId="0" applyNumberFormat="1" applyFont="1" applyFill="1" applyBorder="1" applyAlignment="1">
      <alignment horizontal="center" vertical="center"/>
    </xf>
    <xf numFmtId="2" fontId="7" fillId="3" borderId="19" xfId="0" applyNumberFormat="1" applyFont="1" applyFill="1" applyBorder="1" applyAlignment="1">
      <alignment horizontal="center" vertical="center"/>
    </xf>
    <xf numFmtId="2" fontId="7" fillId="3" borderId="20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2" fontId="2" fillId="5" borderId="83" xfId="0" applyNumberFormat="1" applyFont="1" applyFill="1" applyBorder="1" applyAlignment="1">
      <alignment horizontal="center" vertical="top" wrapText="1"/>
    </xf>
    <xf numFmtId="2" fontId="2" fillId="5" borderId="84" xfId="0" applyNumberFormat="1" applyFont="1" applyFill="1" applyBorder="1" applyAlignment="1">
      <alignment horizontal="center" vertical="top" wrapText="1"/>
    </xf>
    <xf numFmtId="164" fontId="2" fillId="0" borderId="17" xfId="0" applyNumberFormat="1" applyFont="1" applyBorder="1" applyAlignment="1">
      <alignment horizontal="center" vertical="top"/>
    </xf>
    <xf numFmtId="164" fontId="2" fillId="0" borderId="104" xfId="0" applyNumberFormat="1" applyFont="1" applyBorder="1" applyAlignment="1">
      <alignment horizontal="center" vertical="top"/>
    </xf>
    <xf numFmtId="2" fontId="8" fillId="8" borderId="79" xfId="0" applyNumberFormat="1" applyFont="1" applyFill="1" applyBorder="1" applyAlignment="1">
      <alignment horizontal="center" vertical="top"/>
    </xf>
    <xf numFmtId="2" fontId="8" fillId="8" borderId="22" xfId="0" applyNumberFormat="1" applyFont="1" applyFill="1" applyBorder="1" applyAlignment="1">
      <alignment horizontal="center" vertical="top"/>
    </xf>
    <xf numFmtId="2" fontId="8" fillId="8" borderId="80" xfId="0" applyNumberFormat="1" applyFont="1" applyFill="1" applyBorder="1" applyAlignment="1">
      <alignment horizontal="center" vertical="top"/>
    </xf>
    <xf numFmtId="164" fontId="2" fillId="0" borderId="81" xfId="0" applyNumberFormat="1" applyFont="1" applyBorder="1" applyAlignment="1">
      <alignment horizontal="center" vertical="top"/>
    </xf>
    <xf numFmtId="164" fontId="2" fillId="0" borderId="69" xfId="0" applyNumberFormat="1" applyFont="1" applyBorder="1" applyAlignment="1">
      <alignment horizontal="center" vertical="top"/>
    </xf>
    <xf numFmtId="164" fontId="2" fillId="0" borderId="82" xfId="0" applyNumberFormat="1" applyFont="1" applyBorder="1" applyAlignment="1">
      <alignment horizontal="center" vertical="top"/>
    </xf>
    <xf numFmtId="164" fontId="2" fillId="0" borderId="94" xfId="0" applyNumberFormat="1" applyFont="1" applyBorder="1" applyAlignment="1">
      <alignment horizontal="center" vertical="top"/>
    </xf>
    <xf numFmtId="164" fontId="2" fillId="0" borderId="95" xfId="0" applyNumberFormat="1" applyFont="1" applyBorder="1" applyAlignment="1">
      <alignment horizontal="center" vertical="top"/>
    </xf>
    <xf numFmtId="164" fontId="2" fillId="0" borderId="96" xfId="0" applyNumberFormat="1" applyFont="1" applyBorder="1" applyAlignment="1">
      <alignment horizontal="center" vertical="top"/>
    </xf>
    <xf numFmtId="164" fontId="2" fillId="0" borderId="73" xfId="0" applyNumberFormat="1" applyFont="1" applyBorder="1" applyAlignment="1">
      <alignment horizontal="center"/>
    </xf>
    <xf numFmtId="164" fontId="2" fillId="0" borderId="74" xfId="0" applyNumberFormat="1" applyFont="1" applyBorder="1" applyAlignment="1">
      <alignment horizontal="center"/>
    </xf>
    <xf numFmtId="2" fontId="2" fillId="2" borderId="55" xfId="0" applyNumberFormat="1" applyFont="1" applyFill="1" applyBorder="1" applyAlignment="1">
      <alignment horizontal="center" vertical="top"/>
    </xf>
    <xf numFmtId="0" fontId="5" fillId="8" borderId="13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164" fontId="8" fillId="0" borderId="110" xfId="0" applyNumberFormat="1" applyFont="1" applyBorder="1" applyAlignment="1">
      <alignment horizontal="center"/>
    </xf>
    <xf numFmtId="164" fontId="8" fillId="0" borderId="87" xfId="0" applyNumberFormat="1" applyFont="1" applyBorder="1" applyAlignment="1">
      <alignment horizontal="center"/>
    </xf>
    <xf numFmtId="164" fontId="8" fillId="0" borderId="117" xfId="0" applyNumberFormat="1" applyFont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64" fontId="8" fillId="0" borderId="72" xfId="0" applyNumberFormat="1" applyFont="1" applyBorder="1" applyAlignment="1">
      <alignment horizontal="center"/>
    </xf>
    <xf numFmtId="164" fontId="2" fillId="0" borderId="68" xfId="0" applyNumberFormat="1" applyFont="1" applyBorder="1" applyAlignment="1">
      <alignment horizontal="center" vertical="top"/>
    </xf>
    <xf numFmtId="164" fontId="2" fillId="0" borderId="70" xfId="0" applyNumberFormat="1" applyFont="1" applyBorder="1" applyAlignment="1">
      <alignment horizontal="center" vertical="top"/>
    </xf>
    <xf numFmtId="0" fontId="3" fillId="5" borderId="13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164" fontId="2" fillId="0" borderId="89" xfId="0" applyNumberFormat="1" applyFont="1" applyBorder="1" applyAlignment="1">
      <alignment horizontal="center"/>
    </xf>
    <xf numFmtId="164" fontId="2" fillId="0" borderId="90" xfId="0" applyNumberFormat="1" applyFont="1" applyBorder="1" applyAlignment="1">
      <alignment horizontal="center"/>
    </xf>
    <xf numFmtId="164" fontId="2" fillId="0" borderId="91" xfId="0" applyNumberFormat="1" applyFont="1" applyBorder="1" applyAlignment="1">
      <alignment horizontal="center"/>
    </xf>
    <xf numFmtId="164" fontId="8" fillId="0" borderId="75" xfId="0" applyNumberFormat="1" applyFont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2" fontId="2" fillId="5" borderId="88" xfId="0" applyNumberFormat="1" applyFont="1" applyFill="1" applyBorder="1" applyAlignment="1">
      <alignment horizontal="center" vertical="top" wrapText="1"/>
    </xf>
    <xf numFmtId="164" fontId="2" fillId="0" borderId="58" xfId="0" applyNumberFormat="1" applyFont="1" applyBorder="1" applyAlignment="1">
      <alignment horizontal="center" vertical="top"/>
    </xf>
    <xf numFmtId="164" fontId="2" fillId="0" borderId="16" xfId="0" applyNumberFormat="1" applyFont="1" applyBorder="1" applyAlignment="1">
      <alignment horizontal="center" vertical="top"/>
    </xf>
    <xf numFmtId="164" fontId="2" fillId="0" borderId="85" xfId="0" applyNumberFormat="1" applyFont="1" applyBorder="1" applyAlignment="1">
      <alignment horizontal="center" vertical="top"/>
    </xf>
    <xf numFmtId="2" fontId="2" fillId="5" borderId="79" xfId="0" applyNumberFormat="1" applyFont="1" applyFill="1" applyBorder="1" applyAlignment="1">
      <alignment horizontal="center" vertical="top"/>
    </xf>
    <xf numFmtId="2" fontId="2" fillId="5" borderId="22" xfId="0" applyNumberFormat="1" applyFont="1" applyFill="1" applyBorder="1" applyAlignment="1">
      <alignment horizontal="center" vertical="top"/>
    </xf>
    <xf numFmtId="2" fontId="2" fillId="5" borderId="80" xfId="0" applyNumberFormat="1" applyFont="1" applyFill="1" applyBorder="1" applyAlignment="1">
      <alignment horizontal="center" vertical="top"/>
    </xf>
    <xf numFmtId="164" fontId="8" fillId="0" borderId="37" xfId="0" applyNumberFormat="1" applyFont="1" applyBorder="1" applyAlignment="1">
      <alignment horizontal="center"/>
    </xf>
    <xf numFmtId="164" fontId="8" fillId="0" borderId="26" xfId="0" applyNumberFormat="1" applyFont="1" applyBorder="1" applyAlignment="1">
      <alignment horizontal="center"/>
    </xf>
    <xf numFmtId="164" fontId="8" fillId="0" borderId="38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2" fontId="2" fillId="7" borderId="98" xfId="0" applyNumberFormat="1" applyFont="1" applyFill="1" applyBorder="1" applyAlignment="1">
      <alignment horizontal="center" vertical="top"/>
    </xf>
    <xf numFmtId="2" fontId="2" fillId="7" borderId="99" xfId="0" applyNumberFormat="1" applyFont="1" applyFill="1" applyBorder="1" applyAlignment="1">
      <alignment horizontal="center" vertical="top"/>
    </xf>
    <xf numFmtId="0" fontId="3" fillId="5" borderId="127" xfId="0" applyFont="1" applyFill="1" applyBorder="1" applyAlignment="1">
      <alignment horizontal="center" vertical="center"/>
    </xf>
    <xf numFmtId="0" fontId="3" fillId="5" borderId="146" xfId="0" applyFont="1" applyFill="1" applyBorder="1" applyAlignment="1">
      <alignment horizontal="center" vertical="center"/>
    </xf>
    <xf numFmtId="0" fontId="3" fillId="5" borderId="147" xfId="0" applyFont="1" applyFill="1" applyBorder="1" applyAlignment="1">
      <alignment horizontal="center" vertical="center"/>
    </xf>
    <xf numFmtId="2" fontId="2" fillId="5" borderId="79" xfId="0" applyNumberFormat="1" applyFont="1" applyFill="1" applyBorder="1" applyAlignment="1">
      <alignment horizontal="center" vertical="top" wrapText="1"/>
    </xf>
    <xf numFmtId="2" fontId="2" fillId="5" borderId="22" xfId="0" applyNumberFormat="1" applyFont="1" applyFill="1" applyBorder="1" applyAlignment="1">
      <alignment horizontal="center" vertical="top" wrapText="1"/>
    </xf>
    <xf numFmtId="2" fontId="2" fillId="5" borderId="80" xfId="0" applyNumberFormat="1" applyFont="1" applyFill="1" applyBorder="1" applyAlignment="1">
      <alignment horizontal="center" vertical="top" wrapText="1"/>
    </xf>
    <xf numFmtId="2" fontId="2" fillId="2" borderId="83" xfId="0" applyNumberFormat="1" applyFont="1" applyFill="1" applyBorder="1" applyAlignment="1">
      <alignment horizontal="center" vertical="top"/>
    </xf>
    <xf numFmtId="2" fontId="2" fillId="2" borderId="84" xfId="0" applyNumberFormat="1" applyFont="1" applyFill="1" applyBorder="1" applyAlignment="1">
      <alignment horizontal="center" vertical="top"/>
    </xf>
    <xf numFmtId="2" fontId="2" fillId="7" borderId="97" xfId="0" applyNumberFormat="1" applyFont="1" applyFill="1" applyBorder="1" applyAlignment="1">
      <alignment horizontal="center" vertical="top"/>
    </xf>
    <xf numFmtId="164" fontId="2" fillId="0" borderId="137" xfId="0" applyNumberFormat="1" applyFont="1" applyBorder="1" applyAlignment="1">
      <alignment horizontal="center" vertical="top"/>
    </xf>
    <xf numFmtId="164" fontId="2" fillId="0" borderId="109" xfId="0" applyNumberFormat="1" applyFont="1" applyBorder="1" applyAlignment="1">
      <alignment horizontal="center" vertical="top"/>
    </xf>
    <xf numFmtId="164" fontId="2" fillId="0" borderId="145" xfId="0" applyNumberFormat="1" applyFont="1" applyBorder="1" applyAlignment="1">
      <alignment horizontal="center" vertical="top"/>
    </xf>
    <xf numFmtId="0" fontId="8" fillId="5" borderId="7" xfId="0" applyFont="1" applyFill="1" applyBorder="1" applyAlignment="1">
      <alignment horizontal="center"/>
    </xf>
    <xf numFmtId="2" fontId="7" fillId="3" borderId="7" xfId="0" applyNumberFormat="1" applyFont="1" applyFill="1" applyBorder="1" applyAlignment="1">
      <alignment horizontal="center" vertical="center"/>
    </xf>
    <xf numFmtId="164" fontId="2" fillId="0" borderId="111" xfId="0" applyNumberFormat="1" applyFont="1" applyBorder="1" applyAlignment="1">
      <alignment horizontal="center" vertical="top"/>
    </xf>
    <xf numFmtId="164" fontId="2" fillId="0" borderId="24" xfId="0" applyNumberFormat="1" applyFont="1" applyBorder="1" applyAlignment="1">
      <alignment horizontal="center" vertical="top"/>
    </xf>
    <xf numFmtId="164" fontId="8" fillId="0" borderId="16" xfId="0" applyNumberFormat="1" applyFont="1" applyBorder="1" applyAlignment="1">
      <alignment horizontal="center"/>
    </xf>
    <xf numFmtId="164" fontId="8" fillId="0" borderId="24" xfId="0" applyNumberFormat="1" applyFont="1" applyBorder="1" applyAlignment="1">
      <alignment horizontal="center"/>
    </xf>
    <xf numFmtId="2" fontId="2" fillId="5" borderId="66" xfId="0" applyNumberFormat="1" applyFont="1" applyFill="1" applyBorder="1" applyAlignment="1">
      <alignment horizontal="center" vertical="top" wrapText="1"/>
    </xf>
    <xf numFmtId="164" fontId="2" fillId="0" borderId="64" xfId="0" applyNumberFormat="1" applyFont="1" applyBorder="1" applyAlignment="1">
      <alignment horizontal="center"/>
    </xf>
    <xf numFmtId="164" fontId="2" fillId="0" borderId="65" xfId="0" applyNumberFormat="1" applyFont="1" applyBorder="1" applyAlignment="1">
      <alignment horizontal="center"/>
    </xf>
    <xf numFmtId="164" fontId="2" fillId="0" borderId="112" xfId="0" applyNumberFormat="1" applyFont="1" applyBorder="1" applyAlignment="1">
      <alignment horizontal="center" vertical="top"/>
    </xf>
    <xf numFmtId="164" fontId="2" fillId="0" borderId="113" xfId="0" applyNumberFormat="1" applyFont="1" applyBorder="1" applyAlignment="1">
      <alignment horizontal="center" vertical="top"/>
    </xf>
    <xf numFmtId="2" fontId="2" fillId="7" borderId="106" xfId="0" applyNumberFormat="1" applyFont="1" applyFill="1" applyBorder="1" applyAlignment="1">
      <alignment horizontal="center" vertical="top"/>
    </xf>
    <xf numFmtId="2" fontId="2" fillId="7" borderId="107" xfId="0" applyNumberFormat="1" applyFont="1" applyFill="1" applyBorder="1" applyAlignment="1">
      <alignment horizontal="center" vertical="top"/>
    </xf>
    <xf numFmtId="2" fontId="2" fillId="7" borderId="66" xfId="0" applyNumberFormat="1" applyFont="1" applyFill="1" applyBorder="1" applyAlignment="1">
      <alignment horizontal="center" vertical="top"/>
    </xf>
    <xf numFmtId="2" fontId="2" fillId="7" borderId="83" xfId="0" applyNumberFormat="1" applyFont="1" applyFill="1" applyBorder="1" applyAlignment="1">
      <alignment horizontal="center" vertical="top"/>
    </xf>
    <xf numFmtId="2" fontId="2" fillId="7" borderId="84" xfId="0" applyNumberFormat="1" applyFont="1" applyFill="1" applyBorder="1" applyAlignment="1">
      <alignment horizontal="center" vertical="top"/>
    </xf>
    <xf numFmtId="164" fontId="8" fillId="0" borderId="25" xfId="0" applyNumberFormat="1" applyFont="1" applyBorder="1" applyAlignment="1">
      <alignment horizontal="center"/>
    </xf>
    <xf numFmtId="164" fontId="8" fillId="0" borderId="123" xfId="0" applyNumberFormat="1" applyFont="1" applyBorder="1" applyAlignment="1">
      <alignment horizontal="center"/>
    </xf>
    <xf numFmtId="164" fontId="8" fillId="0" borderId="112" xfId="0" applyNumberFormat="1" applyFont="1" applyBorder="1" applyAlignment="1">
      <alignment horizontal="center"/>
    </xf>
    <xf numFmtId="164" fontId="8" fillId="0" borderId="95" xfId="0" applyNumberFormat="1" applyFont="1" applyBorder="1" applyAlignment="1">
      <alignment horizontal="center"/>
    </xf>
    <xf numFmtId="164" fontId="8" fillId="0" borderId="113" xfId="0" applyNumberFormat="1" applyFont="1" applyBorder="1" applyAlignment="1">
      <alignment horizontal="center"/>
    </xf>
    <xf numFmtId="2" fontId="2" fillId="2" borderId="133" xfId="0" applyNumberFormat="1" applyFont="1" applyFill="1" applyBorder="1" applyAlignment="1">
      <alignment horizontal="center" vertical="top"/>
    </xf>
    <xf numFmtId="2" fontId="2" fillId="2" borderId="127" xfId="0" applyNumberFormat="1" applyFont="1" applyFill="1" applyBorder="1" applyAlignment="1">
      <alignment horizontal="center" vertical="top"/>
    </xf>
    <xf numFmtId="164" fontId="2" fillId="0" borderId="130" xfId="0" applyNumberFormat="1" applyFont="1" applyBorder="1" applyAlignment="1">
      <alignment horizontal="center" vertical="top"/>
    </xf>
    <xf numFmtId="164" fontId="2" fillId="0" borderId="131" xfId="0" applyNumberFormat="1" applyFont="1" applyBorder="1" applyAlignment="1">
      <alignment horizontal="center" vertical="top"/>
    </xf>
    <xf numFmtId="164" fontId="2" fillId="0" borderId="132" xfId="0" applyNumberFormat="1" applyFont="1" applyBorder="1" applyAlignment="1">
      <alignment horizontal="center" vertical="top"/>
    </xf>
    <xf numFmtId="2" fontId="8" fillId="8" borderId="66" xfId="0" applyNumberFormat="1" applyFont="1" applyFill="1" applyBorder="1" applyAlignment="1">
      <alignment horizontal="center" vertical="top"/>
    </xf>
    <xf numFmtId="2" fontId="8" fillId="8" borderId="83" xfId="0" applyNumberFormat="1" applyFont="1" applyFill="1" applyBorder="1" applyAlignment="1">
      <alignment horizontal="center" vertical="top"/>
    </xf>
    <xf numFmtId="2" fontId="8" fillId="8" borderId="84" xfId="0" applyNumberFormat="1" applyFont="1" applyFill="1" applyBorder="1" applyAlignment="1">
      <alignment horizontal="center" vertical="top"/>
    </xf>
    <xf numFmtId="2" fontId="2" fillId="2" borderId="126" xfId="0" applyNumberFormat="1" applyFont="1" applyFill="1" applyBorder="1" applyAlignment="1">
      <alignment horizontal="center" vertical="top"/>
    </xf>
    <xf numFmtId="164" fontId="8" fillId="0" borderId="66" xfId="0" applyNumberFormat="1" applyFont="1" applyBorder="1" applyAlignment="1">
      <alignment horizontal="center"/>
    </xf>
    <xf numFmtId="164" fontId="8" fillId="0" borderId="67" xfId="0" applyNumberFormat="1" applyFont="1" applyBorder="1" applyAlignment="1">
      <alignment horizontal="center"/>
    </xf>
    <xf numFmtId="2" fontId="8" fillId="8" borderId="133" xfId="0" applyNumberFormat="1" applyFont="1" applyFill="1" applyBorder="1" applyAlignment="1">
      <alignment horizontal="center" vertical="top"/>
    </xf>
    <xf numFmtId="2" fontId="8" fillId="8" borderId="129" xfId="0" applyNumberFormat="1" applyFont="1" applyFill="1" applyBorder="1" applyAlignment="1">
      <alignment horizontal="center" vertical="top"/>
    </xf>
    <xf numFmtId="2" fontId="8" fillId="8" borderId="139" xfId="0" applyNumberFormat="1" applyFont="1" applyFill="1" applyBorder="1" applyAlignment="1">
      <alignment horizontal="center" vertical="top"/>
    </xf>
    <xf numFmtId="164" fontId="8" fillId="0" borderId="83" xfId="0" applyNumberFormat="1" applyFont="1" applyBorder="1" applyAlignment="1">
      <alignment horizontal="center"/>
    </xf>
    <xf numFmtId="164" fontId="8" fillId="0" borderId="139" xfId="0" applyNumberFormat="1" applyFont="1" applyBorder="1" applyAlignment="1">
      <alignment horizontal="center"/>
    </xf>
    <xf numFmtId="164" fontId="2" fillId="0" borderId="135" xfId="0" applyNumberFormat="1" applyFont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center"/>
    </xf>
    <xf numFmtId="164" fontId="8" fillId="0" borderId="100" xfId="0" applyNumberFormat="1" applyFont="1" applyBorder="1" applyAlignment="1">
      <alignment horizontal="center"/>
    </xf>
    <xf numFmtId="164" fontId="8" fillId="0" borderId="101" xfId="0" applyNumberFormat="1" applyFont="1" applyBorder="1" applyAlignment="1">
      <alignment horizontal="center"/>
    </xf>
    <xf numFmtId="164" fontId="8" fillId="0" borderId="102" xfId="0" applyNumberFormat="1" applyFont="1" applyBorder="1" applyAlignment="1">
      <alignment horizontal="center"/>
    </xf>
    <xf numFmtId="164" fontId="8" fillId="0" borderId="85" xfId="0" applyNumberFormat="1" applyFont="1" applyBorder="1" applyAlignment="1">
      <alignment horizontal="center"/>
    </xf>
    <xf numFmtId="2" fontId="2" fillId="5" borderId="149" xfId="0" applyNumberFormat="1" applyFont="1" applyFill="1" applyBorder="1" applyAlignment="1">
      <alignment horizontal="center" vertical="top"/>
    </xf>
    <xf numFmtId="2" fontId="2" fillId="7" borderId="79" xfId="0" applyNumberFormat="1" applyFont="1" applyFill="1" applyBorder="1" applyAlignment="1">
      <alignment horizontal="center" vertical="top"/>
    </xf>
    <xf numFmtId="2" fontId="2" fillId="7" borderId="22" xfId="0" applyNumberFormat="1" applyFont="1" applyFill="1" applyBorder="1" applyAlignment="1">
      <alignment horizontal="center" vertical="top"/>
    </xf>
    <xf numFmtId="2" fontId="2" fillId="7" borderId="80" xfId="0" applyNumberFormat="1" applyFont="1" applyFill="1" applyBorder="1" applyAlignment="1">
      <alignment horizontal="center" vertical="top"/>
    </xf>
    <xf numFmtId="0" fontId="9" fillId="0" borderId="110" xfId="0" applyFont="1" applyBorder="1" applyAlignment="1">
      <alignment horizontal="center" vertical="center" wrapText="1"/>
    </xf>
    <xf numFmtId="0" fontId="9" fillId="0" borderId="87" xfId="0" applyFont="1" applyBorder="1" applyAlignment="1">
      <alignment horizontal="center" vertical="center" wrapText="1"/>
    </xf>
    <xf numFmtId="0" fontId="9" fillId="0" borderId="11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6" xfId="0" applyFont="1" applyBorder="1" applyAlignment="1">
      <alignment horizontal="center" vertical="center" wrapText="1"/>
    </xf>
    <xf numFmtId="0" fontId="9" fillId="0" borderId="104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92" xfId="0" applyFont="1" applyBorder="1" applyAlignment="1">
      <alignment horizontal="center" vertical="center" wrapText="1"/>
    </xf>
    <xf numFmtId="0" fontId="9" fillId="0" borderId="89" xfId="0" applyFont="1" applyBorder="1" applyAlignment="1">
      <alignment horizontal="center" vertical="center" wrapText="1"/>
    </xf>
    <xf numFmtId="0" fontId="9" fillId="0" borderId="90" xfId="0" applyFont="1" applyBorder="1" applyAlignment="1">
      <alignment horizontal="center" vertical="center" wrapText="1"/>
    </xf>
    <xf numFmtId="0" fontId="9" fillId="0" borderId="91" xfId="0" applyFont="1" applyBorder="1" applyAlignment="1">
      <alignment horizontal="center" vertical="center" wrapText="1"/>
    </xf>
    <xf numFmtId="2" fontId="2" fillId="7" borderId="114" xfId="0" applyNumberFormat="1" applyFont="1" applyFill="1" applyBorder="1" applyAlignment="1">
      <alignment horizontal="center" vertical="top"/>
    </xf>
    <xf numFmtId="2" fontId="2" fillId="7" borderId="115" xfId="0" applyNumberFormat="1" applyFont="1" applyFill="1" applyBorder="1" applyAlignment="1">
      <alignment horizontal="center" vertical="top"/>
    </xf>
    <xf numFmtId="2" fontId="2" fillId="7" borderId="116" xfId="0" applyNumberFormat="1" applyFont="1" applyFill="1" applyBorder="1" applyAlignment="1">
      <alignment horizontal="center" vertical="top"/>
    </xf>
    <xf numFmtId="2" fontId="2" fillId="2" borderId="106" xfId="0" applyNumberFormat="1" applyFont="1" applyFill="1" applyBorder="1" applyAlignment="1">
      <alignment horizontal="center" vertical="top"/>
    </xf>
    <xf numFmtId="2" fontId="2" fillId="2" borderId="107" xfId="0" applyNumberFormat="1" applyFont="1" applyFill="1" applyBorder="1" applyAlignment="1">
      <alignment horizontal="center" vertical="top"/>
    </xf>
    <xf numFmtId="2" fontId="2" fillId="2" borderId="129" xfId="0" applyNumberFormat="1" applyFont="1" applyFill="1" applyBorder="1" applyAlignment="1">
      <alignment horizontal="center" vertical="top"/>
    </xf>
    <xf numFmtId="2" fontId="2" fillId="2" borderId="139" xfId="0" applyNumberFormat="1" applyFont="1" applyFill="1" applyBorder="1" applyAlignment="1">
      <alignment horizontal="center" vertical="top"/>
    </xf>
    <xf numFmtId="0" fontId="8" fillId="5" borderId="5" xfId="0" applyFont="1" applyFill="1" applyBorder="1" applyAlignment="1">
      <alignment horizontal="center"/>
    </xf>
    <xf numFmtId="0" fontId="11" fillId="0" borderId="25" xfId="0" applyFont="1" applyBorder="1" applyAlignment="1"/>
    <xf numFmtId="0" fontId="11" fillId="0" borderId="26" xfId="0" applyFont="1" applyBorder="1" applyAlignment="1"/>
    <xf numFmtId="0" fontId="10" fillId="0" borderId="25" xfId="0" applyFont="1" applyBorder="1" applyAlignment="1"/>
    <xf numFmtId="0" fontId="10" fillId="0" borderId="26" xfId="0" applyFont="1" applyBorder="1" applyAlignment="1"/>
    <xf numFmtId="2" fontId="2" fillId="2" borderId="142" xfId="0" applyNumberFormat="1" applyFont="1" applyFill="1" applyBorder="1" applyAlignment="1">
      <alignment horizontal="center" vertical="top"/>
    </xf>
    <xf numFmtId="2" fontId="2" fillId="2" borderId="143" xfId="0" applyNumberFormat="1" applyFont="1" applyFill="1" applyBorder="1" applyAlignment="1">
      <alignment horizontal="center" vertical="top"/>
    </xf>
    <xf numFmtId="2" fontId="2" fillId="2" borderId="144" xfId="0" applyNumberFormat="1" applyFont="1" applyFill="1" applyBorder="1" applyAlignment="1">
      <alignment horizontal="center" vertical="top"/>
    </xf>
    <xf numFmtId="164" fontId="2" fillId="0" borderId="124" xfId="0" applyNumberFormat="1" applyFont="1" applyBorder="1" applyAlignment="1">
      <alignment horizontal="center" vertical="top"/>
    </xf>
    <xf numFmtId="164" fontId="2" fillId="0" borderId="33" xfId="0" applyNumberFormat="1" applyFont="1" applyBorder="1" applyAlignment="1">
      <alignment horizontal="center" vertical="top"/>
    </xf>
    <xf numFmtId="164" fontId="2" fillId="0" borderId="141" xfId="0" applyNumberFormat="1" applyFont="1" applyBorder="1" applyAlignment="1">
      <alignment horizontal="center" vertical="top"/>
    </xf>
    <xf numFmtId="0" fontId="11" fillId="0" borderId="118" xfId="0" applyFont="1" applyBorder="1" applyAlignment="1">
      <alignment horizontal="left"/>
    </xf>
    <xf numFmtId="0" fontId="11" fillId="0" borderId="119" xfId="0" applyFont="1" applyBorder="1" applyAlignment="1">
      <alignment horizontal="left"/>
    </xf>
    <xf numFmtId="0" fontId="11" fillId="0" borderId="120" xfId="0" applyFont="1" applyBorder="1" applyAlignment="1">
      <alignment horizontal="left"/>
    </xf>
    <xf numFmtId="0" fontId="10" fillId="0" borderId="118" xfId="0" applyFont="1" applyBorder="1" applyAlignment="1">
      <alignment horizontal="left"/>
    </xf>
    <xf numFmtId="0" fontId="10" fillId="0" borderId="119" xfId="0" applyFont="1" applyBorder="1" applyAlignment="1">
      <alignment horizontal="left"/>
    </xf>
    <xf numFmtId="0" fontId="10" fillId="0" borderId="120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12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34" xfId="0" applyFont="1" applyBorder="1" applyAlignment="1">
      <alignment horizontal="left"/>
    </xf>
    <xf numFmtId="164" fontId="12" fillId="0" borderId="31" xfId="0" applyNumberFormat="1" applyFont="1" applyBorder="1" applyAlignment="1">
      <alignment horizontal="center"/>
    </xf>
    <xf numFmtId="0" fontId="11" fillId="0" borderId="39" xfId="0" applyFont="1" applyBorder="1" applyAlignment="1"/>
    <xf numFmtId="0" fontId="11" fillId="0" borderId="29" xfId="0" applyFont="1" applyBorder="1" applyAlignment="1"/>
    <xf numFmtId="0" fontId="11" fillId="0" borderId="37" xfId="0" applyFont="1" applyBorder="1" applyAlignment="1"/>
    <xf numFmtId="0" fontId="10" fillId="0" borderId="39" xfId="0" applyFont="1" applyBorder="1" applyAlignment="1"/>
    <xf numFmtId="0" fontId="10" fillId="0" borderId="29" xfId="0" applyFont="1" applyBorder="1" applyAlignment="1"/>
    <xf numFmtId="0" fontId="10" fillId="0" borderId="37" xfId="0" applyFont="1" applyBorder="1" applyAlignment="1"/>
    <xf numFmtId="2" fontId="2" fillId="5" borderId="140" xfId="0" applyNumberFormat="1" applyFont="1" applyFill="1" applyBorder="1" applyAlignment="1">
      <alignment horizontal="center" vertical="top" wrapText="1"/>
    </xf>
    <xf numFmtId="164" fontId="10" fillId="0" borderId="125" xfId="0" applyNumberFormat="1" applyFont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164" fontId="10" fillId="0" borderId="148" xfId="0" applyNumberFormat="1" applyFont="1" applyBorder="1" applyAlignment="1">
      <alignment horizontal="center"/>
    </xf>
    <xf numFmtId="0" fontId="10" fillId="0" borderId="27" xfId="0" applyFont="1" applyBorder="1" applyAlignment="1"/>
    <xf numFmtId="164" fontId="2" fillId="0" borderId="25" xfId="0" applyNumberFormat="1" applyFont="1" applyBorder="1" applyAlignment="1">
      <alignment horizontal="center" vertical="top"/>
    </xf>
    <xf numFmtId="164" fontId="2" fillId="0" borderId="26" xfId="0" applyNumberFormat="1" applyFont="1" applyBorder="1" applyAlignment="1">
      <alignment horizontal="center" vertical="top"/>
    </xf>
    <xf numFmtId="164" fontId="2" fillId="0" borderId="123" xfId="0" applyNumberFormat="1" applyFont="1" applyBorder="1" applyAlignment="1">
      <alignment horizontal="center" vertical="top"/>
    </xf>
    <xf numFmtId="0" fontId="11" fillId="0" borderId="25" xfId="0" applyFont="1" applyBorder="1" applyAlignment="1">
      <alignment horizontal="left"/>
    </xf>
    <xf numFmtId="0" fontId="11" fillId="0" borderId="26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164" fontId="12" fillId="0" borderId="30" xfId="0" applyNumberFormat="1" applyFont="1" applyBorder="1" applyAlignment="1">
      <alignment horizontal="center"/>
    </xf>
    <xf numFmtId="164" fontId="12" fillId="0" borderId="32" xfId="0" applyNumberFormat="1" applyFont="1" applyBorder="1" applyAlignment="1">
      <alignment horizontal="center"/>
    </xf>
    <xf numFmtId="2" fontId="2" fillId="5" borderId="142" xfId="0" applyNumberFormat="1" applyFont="1" applyFill="1" applyBorder="1" applyAlignment="1">
      <alignment horizontal="center" vertical="top" wrapText="1"/>
    </xf>
    <xf numFmtId="2" fontId="2" fillId="5" borderId="143" xfId="0" applyNumberFormat="1" applyFont="1" applyFill="1" applyBorder="1" applyAlignment="1">
      <alignment horizontal="center" vertical="top" wrapText="1"/>
    </xf>
    <xf numFmtId="2" fontId="2" fillId="5" borderId="144" xfId="0" applyNumberFormat="1" applyFont="1" applyFill="1" applyBorder="1" applyAlignment="1">
      <alignment horizontal="center" vertical="top" wrapText="1"/>
    </xf>
    <xf numFmtId="0" fontId="10" fillId="0" borderId="3" xfId="0" applyFont="1" applyBorder="1"/>
    <xf numFmtId="164" fontId="2" fillId="0" borderId="89" xfId="0" applyNumberFormat="1" applyFont="1" applyBorder="1" applyAlignment="1">
      <alignment horizontal="center" wrapText="1"/>
    </xf>
    <xf numFmtId="0" fontId="11" fillId="0" borderId="27" xfId="0" applyFont="1" applyBorder="1" applyAlignment="1"/>
    <xf numFmtId="2" fontId="2" fillId="5" borderId="97" xfId="0" applyNumberFormat="1" applyFont="1" applyFill="1" applyBorder="1" applyAlignment="1">
      <alignment horizontal="center" vertical="top" wrapText="1"/>
    </xf>
    <xf numFmtId="2" fontId="2" fillId="5" borderId="98" xfId="0" applyNumberFormat="1" applyFont="1" applyFill="1" applyBorder="1" applyAlignment="1">
      <alignment horizontal="center" vertical="top" wrapText="1"/>
    </xf>
    <xf numFmtId="2" fontId="2" fillId="5" borderId="99" xfId="0" applyNumberFormat="1" applyFont="1" applyFill="1" applyBorder="1" applyAlignment="1">
      <alignment horizontal="center" vertical="top" wrapText="1"/>
    </xf>
    <xf numFmtId="164" fontId="2" fillId="0" borderId="27" xfId="0" applyNumberFormat="1" applyFont="1" applyBorder="1" applyAlignment="1">
      <alignment horizontal="center" vertical="top"/>
    </xf>
    <xf numFmtId="164" fontId="2" fillId="0" borderId="28" xfId="0" applyNumberFormat="1" applyFont="1" applyBorder="1" applyAlignment="1">
      <alignment horizontal="center" vertical="top"/>
    </xf>
    <xf numFmtId="164" fontId="2" fillId="0" borderId="71" xfId="0" applyNumberFormat="1" applyFont="1" applyBorder="1" applyAlignment="1">
      <alignment horizontal="center" vertical="top"/>
    </xf>
    <xf numFmtId="0" fontId="10" fillId="0" borderId="0" xfId="0" applyFont="1" applyAlignment="1"/>
    <xf numFmtId="0" fontId="8" fillId="9" borderId="18" xfId="0" applyFont="1" applyFill="1" applyBorder="1" applyAlignment="1">
      <alignment horizontal="center" vertical="center" wrapText="1"/>
    </xf>
    <xf numFmtId="0" fontId="8" fillId="9" borderId="19" xfId="0" applyFont="1" applyFill="1" applyBorder="1" applyAlignment="1">
      <alignment horizontal="center" vertical="center" wrapText="1"/>
    </xf>
    <xf numFmtId="0" fontId="8" fillId="9" borderId="20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44DC"/>
      <color rgb="FFFF0909"/>
      <color rgb="FF9954CC"/>
      <color rgb="FFFF4747"/>
      <color rgb="FFFF66CC"/>
      <color rgb="FFFF9797"/>
      <color rgb="FFD3B5E9"/>
      <color rgb="FFFFC5EC"/>
      <color rgb="FF71FF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619F-517B-44D5-AD15-AF78AD35AF4B}">
  <dimension ref="A1:CG79"/>
  <sheetViews>
    <sheetView showGridLines="0" tabSelected="1" topLeftCell="Q1" zoomScale="90" zoomScaleNormal="90" workbookViewId="0">
      <pane ySplit="4" topLeftCell="A8" activePane="bottomLeft" state="frozen"/>
      <selection pane="bottomLeft" activeCell="B3" sqref="B3:B4"/>
    </sheetView>
  </sheetViews>
  <sheetFormatPr defaultColWidth="8.5703125" defaultRowHeight="12" customHeight="1"/>
  <cols>
    <col min="1" max="1" width="2.42578125" style="1" customWidth="1"/>
    <col min="2" max="2" width="23.140625" style="1" customWidth="1"/>
    <col min="3" max="33" width="7.42578125" style="1" customWidth="1"/>
    <col min="34" max="34" width="7.5703125" style="1" customWidth="1"/>
    <col min="35" max="54" width="7.42578125" style="1" customWidth="1"/>
    <col min="55" max="85" width="2.5703125" style="1" customWidth="1"/>
    <col min="86" max="16384" width="8.5703125" style="1"/>
  </cols>
  <sheetData>
    <row r="1" spans="2:85" ht="19.5">
      <c r="B1" s="22" t="s">
        <v>0</v>
      </c>
    </row>
    <row r="2" spans="2:85" ht="12.6">
      <c r="B2" s="1" t="s">
        <v>1</v>
      </c>
    </row>
    <row r="3" spans="2:85" ht="14.85" customHeight="1">
      <c r="B3" s="170" t="s">
        <v>2</v>
      </c>
      <c r="C3" s="167" t="s">
        <v>3</v>
      </c>
      <c r="D3" s="164"/>
      <c r="E3" s="164"/>
      <c r="F3" s="164"/>
      <c r="G3" s="164" t="s">
        <v>4</v>
      </c>
      <c r="H3" s="164"/>
      <c r="I3" s="164"/>
      <c r="J3" s="164"/>
      <c r="K3" s="165" t="s">
        <v>5</v>
      </c>
      <c r="L3" s="166"/>
      <c r="M3" s="166"/>
      <c r="N3" s="166"/>
      <c r="O3" s="167"/>
      <c r="P3" s="164" t="s">
        <v>6</v>
      </c>
      <c r="Q3" s="164"/>
      <c r="R3" s="164"/>
      <c r="S3" s="164"/>
      <c r="T3" s="164" t="s">
        <v>7</v>
      </c>
      <c r="U3" s="164"/>
      <c r="V3" s="164"/>
      <c r="W3" s="164"/>
      <c r="X3" s="165" t="s">
        <v>8</v>
      </c>
      <c r="Y3" s="166"/>
      <c r="Z3" s="166"/>
      <c r="AA3" s="166"/>
      <c r="AB3" s="167"/>
      <c r="AC3" s="164" t="s">
        <v>9</v>
      </c>
      <c r="AD3" s="164"/>
      <c r="AE3" s="164"/>
      <c r="AF3" s="164"/>
      <c r="AG3" s="165" t="s">
        <v>10</v>
      </c>
      <c r="AH3" s="166"/>
      <c r="AI3" s="166"/>
      <c r="AJ3" s="166"/>
      <c r="AK3" s="167"/>
      <c r="AL3" s="165" t="s">
        <v>11</v>
      </c>
      <c r="AM3" s="166"/>
      <c r="AN3" s="166"/>
      <c r="AO3" s="167"/>
      <c r="AP3" s="164" t="s">
        <v>12</v>
      </c>
      <c r="AQ3" s="164"/>
      <c r="AR3" s="164"/>
      <c r="AS3" s="164"/>
      <c r="AT3" s="165" t="s">
        <v>13</v>
      </c>
      <c r="AU3" s="166"/>
      <c r="AV3" s="166"/>
      <c r="AW3" s="166"/>
      <c r="AX3" s="167"/>
      <c r="AY3" s="164" t="s">
        <v>14</v>
      </c>
      <c r="AZ3" s="164"/>
      <c r="BA3" s="164"/>
      <c r="BB3" s="164"/>
      <c r="BC3" s="4"/>
      <c r="BD3" s="5"/>
      <c r="BE3" s="5"/>
      <c r="BF3" s="6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</row>
    <row r="4" spans="2:85" ht="15" customHeight="1">
      <c r="B4" s="171"/>
      <c r="C4" s="30">
        <v>5</v>
      </c>
      <c r="D4" s="10">
        <v>12</v>
      </c>
      <c r="E4" s="10">
        <v>19</v>
      </c>
      <c r="F4" s="10">
        <v>26</v>
      </c>
      <c r="G4" s="10">
        <v>2</v>
      </c>
      <c r="H4" s="10">
        <v>9</v>
      </c>
      <c r="I4" s="10">
        <v>16</v>
      </c>
      <c r="J4" s="10">
        <v>23</v>
      </c>
      <c r="K4" s="10">
        <v>2</v>
      </c>
      <c r="L4" s="10">
        <v>9</v>
      </c>
      <c r="M4" s="10">
        <v>16</v>
      </c>
      <c r="N4" s="10">
        <v>23</v>
      </c>
      <c r="O4" s="10">
        <v>30</v>
      </c>
      <c r="P4" s="10">
        <v>6</v>
      </c>
      <c r="Q4" s="10">
        <v>13</v>
      </c>
      <c r="R4" s="10">
        <v>20</v>
      </c>
      <c r="S4" s="10">
        <v>27</v>
      </c>
      <c r="T4" s="10">
        <v>4</v>
      </c>
      <c r="U4" s="10">
        <v>11</v>
      </c>
      <c r="V4" s="10">
        <v>18</v>
      </c>
      <c r="W4" s="10">
        <v>25</v>
      </c>
      <c r="X4" s="10">
        <v>1</v>
      </c>
      <c r="Y4" s="10">
        <v>8</v>
      </c>
      <c r="Z4" s="10">
        <v>15</v>
      </c>
      <c r="AA4" s="10">
        <v>22</v>
      </c>
      <c r="AB4" s="10">
        <v>29</v>
      </c>
      <c r="AC4" s="10">
        <v>6</v>
      </c>
      <c r="AD4" s="10">
        <v>13</v>
      </c>
      <c r="AE4" s="10">
        <v>20</v>
      </c>
      <c r="AF4" s="10">
        <v>27</v>
      </c>
      <c r="AG4" s="10">
        <v>3</v>
      </c>
      <c r="AH4" s="10">
        <v>10</v>
      </c>
      <c r="AI4" s="10">
        <v>17</v>
      </c>
      <c r="AJ4" s="10">
        <v>24</v>
      </c>
      <c r="AK4" s="10">
        <v>31</v>
      </c>
      <c r="AL4" s="10">
        <v>7</v>
      </c>
      <c r="AM4" s="10">
        <v>14</v>
      </c>
      <c r="AN4" s="10">
        <v>21</v>
      </c>
      <c r="AO4" s="10">
        <v>28</v>
      </c>
      <c r="AP4" s="10">
        <v>5</v>
      </c>
      <c r="AQ4" s="10">
        <v>12</v>
      </c>
      <c r="AR4" s="10">
        <v>19</v>
      </c>
      <c r="AS4" s="10">
        <v>26</v>
      </c>
      <c r="AT4" s="10">
        <v>2</v>
      </c>
      <c r="AU4" s="10">
        <v>9</v>
      </c>
      <c r="AV4" s="10">
        <v>16</v>
      </c>
      <c r="AW4" s="10">
        <v>23</v>
      </c>
      <c r="AX4" s="10">
        <v>30</v>
      </c>
      <c r="AY4" s="10">
        <v>7</v>
      </c>
      <c r="AZ4" s="10">
        <v>14</v>
      </c>
      <c r="BA4" s="10">
        <v>21</v>
      </c>
      <c r="BB4" s="10">
        <v>28</v>
      </c>
      <c r="BC4" s="7"/>
      <c r="BD4" s="8"/>
      <c r="BE4" s="8"/>
      <c r="BF4" s="9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</row>
    <row r="5" spans="2:85" ht="11.45" customHeight="1" thickBot="1">
      <c r="B5" s="31"/>
      <c r="C5" s="26"/>
      <c r="D5" s="26"/>
      <c r="E5" s="26"/>
      <c r="F5" s="26"/>
      <c r="G5" s="27"/>
      <c r="H5" s="28"/>
      <c r="I5" s="28"/>
      <c r="J5" s="28"/>
      <c r="K5" s="29"/>
      <c r="L5" s="26"/>
      <c r="M5" s="26"/>
      <c r="N5" s="26"/>
      <c r="O5" s="26"/>
      <c r="P5" s="26"/>
      <c r="Q5" s="26"/>
      <c r="R5" s="27"/>
      <c r="S5" s="28"/>
      <c r="T5" s="28"/>
      <c r="U5" s="28"/>
      <c r="V5" s="29"/>
      <c r="W5" s="26"/>
      <c r="X5" s="26"/>
      <c r="Y5" s="27"/>
      <c r="Z5" s="28"/>
      <c r="AA5" s="28"/>
      <c r="AB5" s="28"/>
      <c r="AC5" s="29"/>
      <c r="AD5" s="26"/>
      <c r="AE5" s="26"/>
      <c r="AF5" s="26"/>
      <c r="AG5" s="26"/>
      <c r="AH5" s="27"/>
      <c r="AI5" s="28"/>
      <c r="AJ5" s="28"/>
      <c r="AK5" s="28"/>
      <c r="AL5" s="27"/>
      <c r="AM5" s="28"/>
      <c r="AN5" s="28"/>
      <c r="AO5" s="28"/>
      <c r="AP5" s="28"/>
      <c r="AQ5" s="29"/>
      <c r="AR5" s="26"/>
      <c r="AS5" s="26"/>
      <c r="AT5" s="26"/>
      <c r="AU5" s="26"/>
      <c r="AV5" s="26"/>
      <c r="AW5" s="26"/>
      <c r="AX5" s="26"/>
      <c r="AY5" s="26"/>
      <c r="AZ5" s="27"/>
      <c r="BA5" s="28"/>
      <c r="BB5" s="29"/>
      <c r="BC5" s="161"/>
      <c r="BD5" s="162"/>
      <c r="BE5" s="162"/>
      <c r="BF5" s="163"/>
    </row>
    <row r="6" spans="2:85" ht="14.1" customHeight="1" thickBot="1">
      <c r="B6" s="174" t="s">
        <v>15</v>
      </c>
      <c r="C6" s="14"/>
      <c r="D6" s="14"/>
      <c r="E6" s="14"/>
      <c r="F6" s="14"/>
      <c r="G6" s="112"/>
      <c r="H6" s="34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14"/>
      <c r="Z6" s="14"/>
      <c r="AA6" s="14"/>
      <c r="AB6" s="14"/>
      <c r="AC6" s="14"/>
      <c r="AD6" s="14"/>
      <c r="AE6" s="35"/>
      <c r="AF6" s="35"/>
      <c r="AG6" s="35"/>
      <c r="AH6" s="34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64"/>
      <c r="BC6" s="158"/>
      <c r="BD6" s="159"/>
      <c r="BE6" s="159"/>
      <c r="BF6" s="160"/>
    </row>
    <row r="7" spans="2:85" ht="14.1" customHeight="1">
      <c r="B7" s="175"/>
      <c r="K7" s="48"/>
      <c r="L7" s="65"/>
      <c r="M7" s="65"/>
      <c r="N7" s="65"/>
      <c r="O7" s="189" t="s">
        <v>16</v>
      </c>
      <c r="P7" s="190"/>
      <c r="Q7" s="190"/>
      <c r="R7" s="191"/>
      <c r="S7" s="65"/>
      <c r="T7" s="65"/>
      <c r="U7" s="65"/>
      <c r="V7" s="65"/>
      <c r="W7" s="65"/>
      <c r="X7" s="65"/>
      <c r="Y7" s="189" t="s">
        <v>16</v>
      </c>
      <c r="Z7" s="190"/>
      <c r="AA7" s="190"/>
      <c r="AB7" s="190"/>
      <c r="AC7" s="190"/>
      <c r="AD7" s="191"/>
      <c r="AE7" s="48"/>
      <c r="AF7" s="48"/>
      <c r="AG7" s="48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X7" s="177" t="s">
        <v>16</v>
      </c>
      <c r="AY7" s="178"/>
      <c r="AZ7" s="179"/>
      <c r="BB7" s="66"/>
      <c r="BC7" s="149"/>
      <c r="BD7" s="150"/>
      <c r="BE7" s="150"/>
      <c r="BF7" s="151"/>
    </row>
    <row r="8" spans="2:85" ht="14.1" customHeight="1">
      <c r="B8" s="175"/>
      <c r="K8" s="42"/>
      <c r="L8" s="67"/>
      <c r="M8" s="67"/>
      <c r="N8" s="67"/>
      <c r="O8" s="250">
        <f>SUM(R9:R14)</f>
        <v>730.18119999999999</v>
      </c>
      <c r="P8" s="251"/>
      <c r="Q8" s="251"/>
      <c r="R8" s="252"/>
      <c r="S8" s="67"/>
      <c r="T8" s="67"/>
      <c r="U8" s="67"/>
      <c r="V8" s="67"/>
      <c r="W8" s="67"/>
      <c r="X8" s="67"/>
      <c r="Y8" s="192">
        <f>SUM(AD9:AD14)</f>
        <v>1070.6636000000001</v>
      </c>
      <c r="Z8" s="193"/>
      <c r="AA8" s="193"/>
      <c r="AB8" s="193"/>
      <c r="AC8" s="193"/>
      <c r="AD8" s="194"/>
      <c r="AE8" s="45"/>
      <c r="AF8" s="45"/>
      <c r="AG8" s="45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X8" s="180">
        <f>SUM(AZ9:AZ14)</f>
        <v>615.66129999999998</v>
      </c>
      <c r="AY8" s="181"/>
      <c r="AZ8" s="182"/>
      <c r="BB8" s="68"/>
      <c r="BC8" s="149"/>
      <c r="BD8" s="150"/>
      <c r="BE8" s="150"/>
      <c r="BF8" s="151"/>
    </row>
    <row r="9" spans="2:85" ht="14.1" customHeight="1">
      <c r="B9" s="175"/>
      <c r="K9" s="67"/>
      <c r="L9" s="67"/>
      <c r="M9" s="67"/>
      <c r="N9" s="67"/>
      <c r="O9" s="152" t="s">
        <v>17</v>
      </c>
      <c r="P9" s="50"/>
      <c r="Q9" s="153"/>
      <c r="R9" s="56">
        <v>92.665999999999997</v>
      </c>
      <c r="S9" s="67"/>
      <c r="T9" s="67"/>
      <c r="U9" s="67"/>
      <c r="V9" s="67"/>
      <c r="W9" s="67"/>
      <c r="X9" s="67"/>
      <c r="Y9" s="60" t="s">
        <v>17</v>
      </c>
      <c r="Z9" s="54"/>
      <c r="AA9" s="54"/>
      <c r="AB9" s="54"/>
      <c r="AC9" s="55"/>
      <c r="AD9" s="56">
        <v>18</v>
      </c>
      <c r="AE9" s="67"/>
      <c r="AF9" s="67"/>
      <c r="AG9" s="67"/>
      <c r="AH9" s="65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152" t="s">
        <v>17</v>
      </c>
      <c r="AY9" s="50"/>
      <c r="AZ9" s="56">
        <v>12</v>
      </c>
      <c r="BB9" s="69"/>
      <c r="BC9" s="149"/>
      <c r="BD9" s="150"/>
      <c r="BE9" s="150"/>
      <c r="BF9" s="151"/>
    </row>
    <row r="10" spans="2:85" ht="14.1" customHeight="1">
      <c r="B10" s="175"/>
      <c r="K10" s="67"/>
      <c r="L10" s="67"/>
      <c r="M10" s="67"/>
      <c r="N10" s="67"/>
      <c r="O10" s="152" t="s">
        <v>18</v>
      </c>
      <c r="P10" s="50"/>
      <c r="Q10" s="153"/>
      <c r="R10" s="56">
        <v>84.915199999999999</v>
      </c>
      <c r="S10" s="67"/>
      <c r="T10" s="67"/>
      <c r="U10" s="67"/>
      <c r="V10" s="67"/>
      <c r="W10" s="67"/>
      <c r="X10" s="67"/>
      <c r="Y10" s="152" t="s">
        <v>18</v>
      </c>
      <c r="Z10" s="50"/>
      <c r="AA10" s="50"/>
      <c r="AB10" s="50"/>
      <c r="AC10" s="153"/>
      <c r="AD10" s="56">
        <v>184.00980000000001</v>
      </c>
      <c r="AE10" s="67"/>
      <c r="AF10" s="67"/>
      <c r="AG10" s="67"/>
      <c r="AH10" s="65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152" t="s">
        <v>18</v>
      </c>
      <c r="AY10" s="50"/>
      <c r="AZ10" s="56">
        <v>216.66130000000001</v>
      </c>
      <c r="BB10" s="69"/>
      <c r="BC10" s="149"/>
      <c r="BD10" s="150"/>
      <c r="BE10" s="150"/>
      <c r="BF10" s="151"/>
    </row>
    <row r="11" spans="2:85" s="13" customFormat="1" ht="14.1" customHeight="1">
      <c r="B11" s="175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52" t="s">
        <v>19</v>
      </c>
      <c r="P11" s="50"/>
      <c r="Q11" s="153"/>
      <c r="R11" s="56">
        <v>33</v>
      </c>
      <c r="S11" s="113"/>
      <c r="T11" s="113"/>
      <c r="U11" s="113"/>
      <c r="V11" s="113"/>
      <c r="W11" s="113"/>
      <c r="X11" s="67"/>
      <c r="Y11" s="152" t="s">
        <v>19</v>
      </c>
      <c r="Z11" s="50"/>
      <c r="AA11" s="50"/>
      <c r="AB11" s="50"/>
      <c r="AC11" s="153"/>
      <c r="AD11" s="56">
        <v>24</v>
      </c>
      <c r="AE11" s="113"/>
      <c r="AF11" s="113"/>
      <c r="AG11" s="113"/>
      <c r="AH11" s="114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52" t="s">
        <v>19</v>
      </c>
      <c r="AY11" s="50"/>
      <c r="AZ11" s="56">
        <v>18</v>
      </c>
      <c r="BA11" s="113"/>
      <c r="BB11" s="115"/>
      <c r="BC11" s="149"/>
      <c r="BD11" s="150"/>
      <c r="BE11" s="150"/>
      <c r="BF11" s="151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</row>
    <row r="12" spans="2:85" ht="14.1" customHeight="1">
      <c r="B12" s="175"/>
      <c r="O12" s="152" t="s">
        <v>20</v>
      </c>
      <c r="P12" s="50"/>
      <c r="Q12" s="153"/>
      <c r="R12" s="56">
        <v>135.6</v>
      </c>
      <c r="Y12" s="152" t="s">
        <v>20</v>
      </c>
      <c r="Z12" s="50"/>
      <c r="AA12" s="50"/>
      <c r="AB12" s="50"/>
      <c r="AC12" s="153"/>
      <c r="AD12" s="56">
        <v>97.055000000000007</v>
      </c>
      <c r="AH12" s="49"/>
      <c r="AX12" s="152" t="s">
        <v>20</v>
      </c>
      <c r="AY12" s="50"/>
      <c r="AZ12" s="56">
        <v>69</v>
      </c>
      <c r="BB12" s="70"/>
      <c r="BC12" s="149"/>
      <c r="BD12" s="150"/>
      <c r="BE12" s="150"/>
      <c r="BF12" s="151"/>
    </row>
    <row r="13" spans="2:85" ht="14.1" customHeight="1">
      <c r="B13" s="175"/>
      <c r="O13" s="152" t="s">
        <v>21</v>
      </c>
      <c r="P13" s="50"/>
      <c r="Q13" s="153"/>
      <c r="R13" s="56">
        <v>290</v>
      </c>
      <c r="X13" s="113"/>
      <c r="Y13" s="152" t="s">
        <v>21</v>
      </c>
      <c r="Z13" s="50"/>
      <c r="AA13" s="50"/>
      <c r="AB13" s="50"/>
      <c r="AC13" s="153"/>
      <c r="AD13" s="56">
        <v>636</v>
      </c>
      <c r="AG13" s="113"/>
      <c r="AH13" s="49"/>
      <c r="AO13" s="113"/>
      <c r="AP13" s="113"/>
      <c r="AQ13" s="113"/>
      <c r="AR13" s="113"/>
      <c r="AX13" s="152" t="s">
        <v>21</v>
      </c>
      <c r="AY13" s="50"/>
      <c r="AZ13" s="56">
        <v>240</v>
      </c>
      <c r="BB13" s="70"/>
      <c r="BC13" s="149"/>
      <c r="BD13" s="150"/>
      <c r="BE13" s="150"/>
      <c r="BF13" s="151"/>
    </row>
    <row r="14" spans="2:85" ht="14.1" customHeight="1">
      <c r="B14" s="175"/>
      <c r="O14" s="152" t="s">
        <v>22</v>
      </c>
      <c r="P14" s="50"/>
      <c r="Q14" s="153"/>
      <c r="R14" s="56">
        <v>94</v>
      </c>
      <c r="X14" s="113"/>
      <c r="Y14" s="152" t="s">
        <v>22</v>
      </c>
      <c r="Z14" s="50"/>
      <c r="AA14" s="50"/>
      <c r="AB14" s="50"/>
      <c r="AC14" s="153"/>
      <c r="AD14" s="56">
        <v>111.5988</v>
      </c>
      <c r="AG14" s="113"/>
      <c r="AH14" s="49"/>
      <c r="AO14" s="113"/>
      <c r="AP14" s="113"/>
      <c r="AQ14" s="113"/>
      <c r="AR14" s="113"/>
      <c r="AX14" s="152" t="s">
        <v>22</v>
      </c>
      <c r="AY14" s="50"/>
      <c r="AZ14" s="56">
        <v>60</v>
      </c>
      <c r="BB14" s="70"/>
      <c r="BC14" s="149"/>
      <c r="BD14" s="150"/>
      <c r="BE14" s="150"/>
      <c r="BF14" s="151"/>
    </row>
    <row r="15" spans="2:85" ht="14.1" customHeight="1" thickBot="1">
      <c r="B15" s="175"/>
      <c r="O15" s="57">
        <v>182.5453</v>
      </c>
      <c r="P15" s="58">
        <v>182.5453</v>
      </c>
      <c r="Q15" s="58">
        <v>182.5453</v>
      </c>
      <c r="R15" s="59">
        <v>182.5453</v>
      </c>
      <c r="X15" s="113"/>
      <c r="Y15" s="61">
        <v>180.7741</v>
      </c>
      <c r="Z15" s="62">
        <v>180.8717</v>
      </c>
      <c r="AA15" s="62">
        <v>180.8717</v>
      </c>
      <c r="AB15" s="62">
        <v>176.0487</v>
      </c>
      <c r="AC15" s="62">
        <v>176.0487</v>
      </c>
      <c r="AD15" s="63">
        <v>176.0487</v>
      </c>
      <c r="AG15" s="113"/>
      <c r="AH15" s="49"/>
      <c r="AO15" s="113"/>
      <c r="AP15" s="113"/>
      <c r="AQ15" s="113"/>
      <c r="AR15" s="113"/>
      <c r="AX15" s="57">
        <v>205.22049999999999</v>
      </c>
      <c r="AY15" s="58">
        <v>205.22040000000001</v>
      </c>
      <c r="AZ15" s="59">
        <v>205.22040000000001</v>
      </c>
      <c r="BB15" s="70"/>
      <c r="BC15" s="149"/>
      <c r="BD15" s="150"/>
      <c r="BE15" s="150"/>
      <c r="BF15" s="151"/>
    </row>
    <row r="16" spans="2:85" ht="14.1" customHeight="1" thickBot="1">
      <c r="B16" s="175"/>
      <c r="G16" s="71"/>
      <c r="H16" s="71"/>
      <c r="I16" s="71"/>
      <c r="J16" s="71"/>
      <c r="X16" s="113"/>
      <c r="Y16" s="71"/>
      <c r="Z16" s="71"/>
      <c r="AA16" s="71"/>
      <c r="AB16" s="71"/>
      <c r="AC16" s="71"/>
      <c r="AD16" s="71"/>
      <c r="AG16" s="113"/>
      <c r="AH16" s="49"/>
      <c r="AO16" s="113"/>
      <c r="AP16" s="113"/>
      <c r="AQ16" s="113"/>
      <c r="AR16" s="113"/>
      <c r="AX16" s="71"/>
      <c r="AY16" s="71"/>
      <c r="AZ16" s="71"/>
      <c r="BB16" s="70"/>
      <c r="BC16" s="149"/>
      <c r="BD16" s="150"/>
      <c r="BE16" s="150"/>
      <c r="BF16" s="151"/>
    </row>
    <row r="17" spans="2:58" ht="14.1" customHeight="1">
      <c r="B17" s="175"/>
      <c r="C17" s="253"/>
      <c r="D17" s="254"/>
      <c r="E17" s="254"/>
      <c r="F17" s="254"/>
      <c r="G17" s="254"/>
      <c r="H17" s="71"/>
      <c r="I17" s="71"/>
      <c r="J17" s="71"/>
      <c r="X17" s="183" t="s">
        <v>23</v>
      </c>
      <c r="Y17" s="184"/>
      <c r="Z17" s="184"/>
      <c r="AA17" s="185"/>
      <c r="AB17" s="71"/>
      <c r="AC17" s="71"/>
      <c r="AD17" s="71"/>
      <c r="AG17" s="113"/>
      <c r="AH17" s="49"/>
      <c r="AO17" s="183" t="s">
        <v>23</v>
      </c>
      <c r="AP17" s="184"/>
      <c r="AQ17" s="184"/>
      <c r="AR17" s="185"/>
      <c r="AX17" s="71"/>
      <c r="AY17" s="71"/>
      <c r="AZ17" s="71"/>
      <c r="BB17" s="70"/>
      <c r="BC17" s="149"/>
      <c r="BD17" s="150"/>
      <c r="BE17" s="150"/>
      <c r="BF17" s="151"/>
    </row>
    <row r="18" spans="2:58" ht="14.1" customHeight="1">
      <c r="B18" s="175"/>
      <c r="C18" s="255"/>
      <c r="D18" s="255"/>
      <c r="E18" s="255"/>
      <c r="F18" s="255"/>
      <c r="G18" s="255"/>
      <c r="H18" s="71"/>
      <c r="I18" s="71"/>
      <c r="J18" s="71"/>
      <c r="X18" s="186">
        <f>SUM(AA19:AA21)</f>
        <v>60</v>
      </c>
      <c r="Y18" s="187"/>
      <c r="Z18" s="187"/>
      <c r="AA18" s="188"/>
      <c r="AB18" s="71"/>
      <c r="AC18" s="71"/>
      <c r="AD18" s="71"/>
      <c r="AG18" s="113"/>
      <c r="AH18" s="49"/>
      <c r="AO18" s="186">
        <f>SUM(AR19:AR21)</f>
        <v>60</v>
      </c>
      <c r="AP18" s="187"/>
      <c r="AQ18" s="187"/>
      <c r="AR18" s="188"/>
      <c r="AX18" s="71"/>
      <c r="AY18" s="71"/>
      <c r="AZ18" s="71"/>
      <c r="BB18" s="70"/>
      <c r="BC18" s="149"/>
      <c r="BD18" s="150"/>
      <c r="BE18" s="150"/>
      <c r="BF18" s="151"/>
    </row>
    <row r="19" spans="2:58" ht="14.1" customHeight="1">
      <c r="B19" s="175"/>
      <c r="C19" s="156"/>
      <c r="G19" s="71"/>
      <c r="H19" s="71"/>
      <c r="I19" s="71"/>
      <c r="J19" s="71"/>
      <c r="X19" s="72" t="s">
        <v>19</v>
      </c>
      <c r="Y19" s="73"/>
      <c r="Z19" s="74"/>
      <c r="AA19" s="75">
        <v>12</v>
      </c>
      <c r="AB19" s="71"/>
      <c r="AC19" s="71"/>
      <c r="AD19" s="71"/>
      <c r="AG19" s="113"/>
      <c r="AH19" s="49"/>
      <c r="AO19" s="72" t="s">
        <v>19</v>
      </c>
      <c r="AP19" s="73"/>
      <c r="AQ19" s="74"/>
      <c r="AR19" s="75">
        <v>12</v>
      </c>
      <c r="AX19" s="71"/>
      <c r="AY19" s="71"/>
      <c r="AZ19" s="71"/>
      <c r="BB19" s="70"/>
      <c r="BC19" s="149"/>
      <c r="BD19" s="150"/>
      <c r="BE19" s="150"/>
      <c r="BF19" s="151"/>
    </row>
    <row r="20" spans="2:58" ht="14.1" customHeight="1">
      <c r="B20" s="175"/>
      <c r="C20" s="156"/>
      <c r="D20" s="146"/>
      <c r="E20" s="146"/>
      <c r="F20" s="146"/>
      <c r="G20" s="71"/>
      <c r="H20" s="71"/>
      <c r="I20" s="71"/>
      <c r="J20" s="71"/>
      <c r="X20" s="72" t="s">
        <v>21</v>
      </c>
      <c r="Y20" s="73"/>
      <c r="Z20" s="74"/>
      <c r="AA20" s="75">
        <v>42</v>
      </c>
      <c r="AB20" s="71"/>
      <c r="AC20" s="71"/>
      <c r="AD20" s="71"/>
      <c r="AG20" s="113"/>
      <c r="AH20" s="49"/>
      <c r="AO20" s="72" t="s">
        <v>21</v>
      </c>
      <c r="AP20" s="73"/>
      <c r="AQ20" s="74"/>
      <c r="AR20" s="75">
        <v>42</v>
      </c>
      <c r="AX20" s="71"/>
      <c r="AY20" s="71"/>
      <c r="AZ20" s="71"/>
      <c r="BB20" s="70"/>
      <c r="BC20" s="149"/>
      <c r="BD20" s="150"/>
      <c r="BE20" s="150"/>
      <c r="BF20" s="151"/>
    </row>
    <row r="21" spans="2:58" ht="14.1" customHeight="1">
      <c r="B21" s="175"/>
      <c r="C21" s="156"/>
      <c r="D21" s="156"/>
      <c r="E21" s="156"/>
      <c r="F21" s="156"/>
      <c r="G21" s="71"/>
      <c r="H21" s="71"/>
      <c r="I21" s="71"/>
      <c r="J21" s="71"/>
      <c r="X21" s="72" t="s">
        <v>22</v>
      </c>
      <c r="Y21" s="73"/>
      <c r="Z21" s="74"/>
      <c r="AA21" s="75">
        <v>6</v>
      </c>
      <c r="AB21" s="71"/>
      <c r="AC21" s="71"/>
      <c r="AD21" s="71"/>
      <c r="AG21" s="113"/>
      <c r="AH21" s="49"/>
      <c r="AO21" s="72" t="s">
        <v>22</v>
      </c>
      <c r="AP21" s="73"/>
      <c r="AQ21" s="74"/>
      <c r="AR21" s="75">
        <v>6</v>
      </c>
      <c r="AX21" s="71"/>
      <c r="AY21" s="71"/>
      <c r="AZ21" s="71"/>
      <c r="BB21" s="70"/>
      <c r="BC21" s="149"/>
      <c r="BD21" s="150"/>
      <c r="BE21" s="150"/>
      <c r="BF21" s="151"/>
    </row>
    <row r="22" spans="2:58" ht="14.1" customHeight="1" thickBot="1">
      <c r="B22" s="175"/>
      <c r="C22" s="156"/>
      <c r="D22" s="146"/>
      <c r="E22" s="146"/>
      <c r="F22" s="146"/>
      <c r="G22" s="71"/>
      <c r="H22" s="71"/>
      <c r="I22" s="71"/>
      <c r="J22" s="71"/>
      <c r="X22" s="76">
        <v>15</v>
      </c>
      <c r="Y22" s="77">
        <v>15</v>
      </c>
      <c r="Z22" s="77">
        <v>15</v>
      </c>
      <c r="AA22" s="78">
        <v>15</v>
      </c>
      <c r="AB22" s="71"/>
      <c r="AC22" s="71"/>
      <c r="AD22" s="71"/>
      <c r="AG22" s="113"/>
      <c r="AH22" s="49"/>
      <c r="AO22" s="76">
        <v>15</v>
      </c>
      <c r="AP22" s="77">
        <v>15</v>
      </c>
      <c r="AQ22" s="77">
        <v>15</v>
      </c>
      <c r="AR22" s="78">
        <v>15</v>
      </c>
      <c r="AX22" s="71"/>
      <c r="AY22" s="71"/>
      <c r="AZ22" s="71"/>
      <c r="BB22" s="70"/>
      <c r="BC22" s="149"/>
      <c r="BD22" s="150"/>
      <c r="BE22" s="150"/>
      <c r="BF22" s="151"/>
    </row>
    <row r="23" spans="2:58" ht="14.1" customHeight="1" thickBot="1">
      <c r="B23" s="176"/>
      <c r="G23" s="71"/>
      <c r="H23" s="71"/>
      <c r="I23" s="71"/>
      <c r="J23" s="71"/>
      <c r="X23" s="113"/>
      <c r="Y23" s="71"/>
      <c r="Z23" s="71"/>
      <c r="AA23" s="71"/>
      <c r="AB23" s="71"/>
      <c r="AC23" s="71"/>
      <c r="AD23" s="71"/>
      <c r="AG23" s="113"/>
      <c r="AH23" s="49"/>
      <c r="AO23" s="113"/>
      <c r="AP23" s="113"/>
      <c r="AQ23" s="113"/>
      <c r="AR23" s="113"/>
      <c r="AX23" s="71"/>
      <c r="AY23" s="71"/>
      <c r="AZ23" s="71"/>
      <c r="BB23" s="70"/>
      <c r="BC23" s="168">
        <f>SUM(C8:BB8, C18:BB18)</f>
        <v>2536.5061000000001</v>
      </c>
      <c r="BD23" s="168"/>
      <c r="BE23" s="168"/>
      <c r="BF23" s="169"/>
    </row>
    <row r="24" spans="2:58" ht="15.95" thickBot="1">
      <c r="B24" s="12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11"/>
      <c r="BC24" s="19"/>
      <c r="BD24" s="20"/>
      <c r="BE24" s="20"/>
      <c r="BF24" s="21"/>
    </row>
    <row r="25" spans="2:58" ht="14.85" customHeight="1">
      <c r="B25" s="229" t="s">
        <v>24</v>
      </c>
      <c r="C25" s="37"/>
      <c r="D25" s="37"/>
      <c r="E25" s="37"/>
      <c r="F25" s="37"/>
      <c r="G25" s="38"/>
      <c r="H25" s="3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17"/>
      <c r="BD25" s="23"/>
      <c r="BE25" s="23"/>
      <c r="BF25" s="18"/>
    </row>
    <row r="26" spans="2:58" ht="14.85" customHeight="1">
      <c r="B26" s="230"/>
      <c r="C26" s="37"/>
      <c r="D26" s="37"/>
      <c r="E26" s="37"/>
      <c r="F26" s="37"/>
      <c r="G26" s="38"/>
      <c r="H26" s="47"/>
      <c r="I26" s="47"/>
      <c r="J26" s="47"/>
      <c r="L26" s="172" t="s">
        <v>25</v>
      </c>
      <c r="M26" s="264"/>
      <c r="N26" s="265"/>
      <c r="O26" s="4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47"/>
      <c r="AC26" s="47"/>
      <c r="AD26" s="47"/>
      <c r="AE26" s="172" t="s">
        <v>26</v>
      </c>
      <c r="AF26" s="172"/>
      <c r="AG26" s="173"/>
      <c r="AH26" s="37"/>
      <c r="AI26" s="42"/>
      <c r="AJ26" s="42"/>
      <c r="AK26" s="42"/>
      <c r="AL26" s="37"/>
      <c r="AM26" s="37"/>
      <c r="AN26" s="37"/>
      <c r="AO26" s="37"/>
      <c r="AP26" s="47"/>
      <c r="AQ26" s="47"/>
      <c r="AR26" s="47"/>
      <c r="AS26" s="47"/>
      <c r="AT26" s="172" t="s">
        <v>27</v>
      </c>
      <c r="AU26" s="172"/>
      <c r="AV26" s="173"/>
      <c r="AW26" s="37"/>
      <c r="AX26" s="37"/>
      <c r="BB26" s="37"/>
      <c r="BC26" s="17"/>
      <c r="BD26" s="23"/>
      <c r="BE26" s="23"/>
      <c r="BF26" s="18"/>
    </row>
    <row r="27" spans="2:58" ht="12" customHeight="1">
      <c r="B27" s="230"/>
      <c r="C27" s="37"/>
      <c r="D27" s="37"/>
      <c r="E27" s="37"/>
      <c r="F27" s="37"/>
      <c r="G27" s="38"/>
      <c r="H27" s="42"/>
      <c r="I27" s="42"/>
      <c r="J27" s="42"/>
      <c r="L27" s="279">
        <f>SUM(N28:N32)</f>
        <v>570.90258943999993</v>
      </c>
      <c r="M27" s="219"/>
      <c r="N27" s="280"/>
      <c r="O27" s="47"/>
      <c r="P27" s="37"/>
      <c r="Q27" s="37"/>
      <c r="R27" s="37"/>
      <c r="S27" s="37"/>
      <c r="Z27" s="37"/>
      <c r="AA27" s="37"/>
      <c r="AB27" s="47"/>
      <c r="AC27" s="47"/>
      <c r="AD27" s="47"/>
      <c r="AE27" s="232">
        <f>SUM(AG28:AG33)</f>
        <v>495</v>
      </c>
      <c r="AF27" s="216"/>
      <c r="AG27" s="233"/>
      <c r="AH27" s="37"/>
      <c r="AI27" s="42"/>
      <c r="AJ27" s="42"/>
      <c r="AK27" s="42"/>
      <c r="AL27" s="37"/>
      <c r="AM27" s="37"/>
      <c r="AN27" s="37"/>
      <c r="AO27" s="37"/>
      <c r="AP27" s="42"/>
      <c r="AQ27" s="42"/>
      <c r="AR27" s="42"/>
      <c r="AS27" s="42"/>
      <c r="AT27" s="232">
        <f>SUM(AV28:AV33)</f>
        <v>538.88875289999999</v>
      </c>
      <c r="AU27" s="216"/>
      <c r="AV27" s="233"/>
      <c r="AW27" s="37"/>
      <c r="AX27" s="37"/>
      <c r="BB27" s="37"/>
      <c r="BC27" s="17"/>
      <c r="BD27" s="23"/>
      <c r="BE27" s="23"/>
      <c r="BF27" s="18"/>
    </row>
    <row r="28" spans="2:58" ht="12.6" customHeight="1">
      <c r="B28" s="230"/>
      <c r="C28" s="37"/>
      <c r="D28" s="37"/>
      <c r="E28" s="37"/>
      <c r="F28" s="37"/>
      <c r="G28" s="38"/>
      <c r="H28" s="39"/>
      <c r="I28" s="37"/>
      <c r="J28" s="37"/>
      <c r="L28" s="157" t="s">
        <v>17</v>
      </c>
      <c r="M28" s="154"/>
      <c r="N28" s="79">
        <v>13.174424370000001</v>
      </c>
      <c r="O28" s="37"/>
      <c r="P28" s="37"/>
      <c r="Q28" s="37"/>
      <c r="R28" s="37"/>
      <c r="S28" s="37"/>
      <c r="Z28" s="37"/>
      <c r="AA28" s="37"/>
      <c r="AB28" s="37"/>
      <c r="AC28" s="37"/>
      <c r="AD28" s="37"/>
      <c r="AE28" s="341" t="s">
        <v>17</v>
      </c>
      <c r="AF28" s="342"/>
      <c r="AG28" s="79">
        <v>9.9</v>
      </c>
      <c r="AH28" s="37"/>
      <c r="AI28" s="39"/>
      <c r="AJ28" s="37"/>
      <c r="AK28" s="37"/>
      <c r="AL28" s="40"/>
      <c r="AM28" s="40"/>
      <c r="AN28" s="40"/>
      <c r="AO28" s="41"/>
      <c r="AP28" s="39"/>
      <c r="AQ28" s="37"/>
      <c r="AR28" s="37"/>
      <c r="AS28" s="37"/>
      <c r="AT28" s="341" t="s">
        <v>17</v>
      </c>
      <c r="AU28" s="342"/>
      <c r="AV28" s="79">
        <v>9.9</v>
      </c>
      <c r="AW28" s="40"/>
      <c r="AX28" s="40"/>
      <c r="AY28" s="41"/>
      <c r="AZ28" s="37"/>
      <c r="BA28" s="37"/>
      <c r="BB28" s="37"/>
      <c r="BC28" s="17"/>
      <c r="BD28" s="23"/>
      <c r="BE28" s="23"/>
      <c r="BF28" s="18"/>
    </row>
    <row r="29" spans="2:58" ht="12.6" customHeight="1">
      <c r="B29" s="230"/>
      <c r="C29" s="37"/>
      <c r="D29" s="37"/>
      <c r="E29" s="37"/>
      <c r="F29" s="37"/>
      <c r="G29" s="38"/>
      <c r="H29" s="39"/>
      <c r="I29" s="37"/>
      <c r="J29" s="37"/>
      <c r="L29" s="155" t="s">
        <v>18</v>
      </c>
      <c r="M29" s="153"/>
      <c r="N29" s="79">
        <v>101.19</v>
      </c>
      <c r="O29" s="37"/>
      <c r="P29" s="37"/>
      <c r="Q29" s="37"/>
      <c r="R29" s="37"/>
      <c r="S29" s="37"/>
      <c r="Z29" s="37"/>
      <c r="AA29" s="37"/>
      <c r="AB29" s="37"/>
      <c r="AC29" s="37"/>
      <c r="AD29" s="37"/>
      <c r="AE29" s="343" t="s">
        <v>18</v>
      </c>
      <c r="AF29" s="344"/>
      <c r="AG29" s="79">
        <v>49.5</v>
      </c>
      <c r="AH29" s="37"/>
      <c r="AI29" s="39"/>
      <c r="AJ29" s="37"/>
      <c r="AK29" s="37"/>
      <c r="AL29" s="40"/>
      <c r="AM29" s="40"/>
      <c r="AN29" s="40"/>
      <c r="AO29" s="41"/>
      <c r="AP29" s="39"/>
      <c r="AQ29" s="37"/>
      <c r="AR29" s="37"/>
      <c r="AS29" s="37"/>
      <c r="AT29" s="343" t="s">
        <v>18</v>
      </c>
      <c r="AU29" s="344"/>
      <c r="AV29" s="79">
        <v>152.78875289999999</v>
      </c>
      <c r="AW29" s="40"/>
      <c r="AX29" s="40"/>
      <c r="AY29" s="41"/>
      <c r="AZ29" s="37"/>
      <c r="BA29" s="37"/>
      <c r="BB29" s="37"/>
      <c r="BC29" s="17"/>
      <c r="BD29" s="23"/>
      <c r="BE29" s="23"/>
      <c r="BF29" s="18"/>
    </row>
    <row r="30" spans="2:58" ht="12.6" customHeight="1">
      <c r="B30" s="230"/>
      <c r="C30" s="37"/>
      <c r="D30" s="37"/>
      <c r="E30" s="37"/>
      <c r="F30" s="37"/>
      <c r="G30" s="38"/>
      <c r="H30" s="39"/>
      <c r="I30" s="37"/>
      <c r="J30" s="37"/>
      <c r="L30" s="155" t="s">
        <v>20</v>
      </c>
      <c r="M30" s="153"/>
      <c r="N30" s="79">
        <v>104.26322810000001</v>
      </c>
      <c r="O30" s="37"/>
      <c r="P30" s="37"/>
      <c r="Q30" s="37"/>
      <c r="R30" s="37"/>
      <c r="S30" s="37"/>
      <c r="Z30" s="37"/>
      <c r="AA30" s="37"/>
      <c r="AB30" s="37"/>
      <c r="AC30" s="37"/>
      <c r="AD30" s="37"/>
      <c r="AE30" s="341" t="s">
        <v>19</v>
      </c>
      <c r="AF30" s="342"/>
      <c r="AG30" s="79">
        <v>9.9</v>
      </c>
      <c r="AH30" s="37"/>
      <c r="AI30" s="39"/>
      <c r="AJ30" s="37"/>
      <c r="AK30" s="37"/>
      <c r="AL30" s="40"/>
      <c r="AM30" s="40"/>
      <c r="AN30" s="40"/>
      <c r="AO30" s="41"/>
      <c r="AP30" s="39"/>
      <c r="AQ30" s="37"/>
      <c r="AR30" s="37"/>
      <c r="AS30" s="37"/>
      <c r="AT30" s="341" t="s">
        <v>19</v>
      </c>
      <c r="AU30" s="342"/>
      <c r="AV30" s="79">
        <v>9.9</v>
      </c>
      <c r="AW30" s="40"/>
      <c r="AX30" s="40"/>
      <c r="AY30" s="41"/>
      <c r="AZ30" s="37"/>
      <c r="BA30" s="37"/>
      <c r="BB30" s="37"/>
      <c r="BC30" s="17"/>
      <c r="BD30" s="23"/>
      <c r="BE30" s="23"/>
      <c r="BF30" s="18"/>
    </row>
    <row r="31" spans="2:58" ht="12.6" customHeight="1">
      <c r="B31" s="230"/>
      <c r="C31" s="37"/>
      <c r="D31" s="37"/>
      <c r="E31" s="37"/>
      <c r="F31" s="37"/>
      <c r="G31" s="38"/>
      <c r="H31" s="39"/>
      <c r="I31" s="37"/>
      <c r="J31" s="37"/>
      <c r="L31" s="155" t="s">
        <v>21</v>
      </c>
      <c r="M31" s="153"/>
      <c r="N31" s="79">
        <v>259.875</v>
      </c>
      <c r="O31" s="37"/>
      <c r="P31" s="37"/>
      <c r="Q31" s="37"/>
      <c r="R31" s="37"/>
      <c r="S31" s="37"/>
      <c r="Z31" s="37"/>
      <c r="AA31" s="37"/>
      <c r="AB31" s="37"/>
      <c r="AC31" s="37"/>
      <c r="AD31" s="37"/>
      <c r="AE31" s="343" t="s">
        <v>20</v>
      </c>
      <c r="AF31" s="344"/>
      <c r="AG31" s="79">
        <v>94.05</v>
      </c>
      <c r="AH31" s="37"/>
      <c r="AI31" s="39"/>
      <c r="AJ31" s="37"/>
      <c r="AK31" s="37"/>
      <c r="AL31" s="40"/>
      <c r="AM31" s="40"/>
      <c r="AN31" s="40"/>
      <c r="AO31" s="41"/>
      <c r="AP31" s="39"/>
      <c r="AQ31" s="37"/>
      <c r="AR31" s="37"/>
      <c r="AS31" s="37"/>
      <c r="AT31" s="343" t="s">
        <v>20</v>
      </c>
      <c r="AU31" s="344"/>
      <c r="AV31" s="79">
        <v>84.15</v>
      </c>
      <c r="AW31" s="40"/>
      <c r="AX31" s="40"/>
      <c r="AY31" s="41"/>
      <c r="AZ31" s="37"/>
      <c r="BA31" s="37"/>
      <c r="BB31" s="37"/>
      <c r="BC31" s="17"/>
      <c r="BD31" s="23"/>
      <c r="BE31" s="23"/>
      <c r="BF31" s="18"/>
    </row>
    <row r="32" spans="2:58" ht="12.6" customHeight="1">
      <c r="B32" s="230"/>
      <c r="C32" s="37"/>
      <c r="D32" s="37"/>
      <c r="E32" s="37"/>
      <c r="F32" s="37"/>
      <c r="G32" s="38"/>
      <c r="H32" s="39"/>
      <c r="I32" s="37"/>
      <c r="J32" s="37"/>
      <c r="L32" s="155" t="s">
        <v>22</v>
      </c>
      <c r="M32" s="153"/>
      <c r="N32" s="79">
        <v>92.399936969999999</v>
      </c>
      <c r="O32" s="37"/>
      <c r="P32" s="37"/>
      <c r="Q32" s="37"/>
      <c r="R32" s="37"/>
      <c r="S32" s="37"/>
      <c r="Z32" s="37"/>
      <c r="AA32" s="37"/>
      <c r="AB32" s="37"/>
      <c r="AC32" s="37"/>
      <c r="AD32" s="37"/>
      <c r="AE32" s="343" t="s">
        <v>21</v>
      </c>
      <c r="AF32" s="344"/>
      <c r="AG32" s="79">
        <v>222.75</v>
      </c>
      <c r="AH32" s="37"/>
      <c r="AI32" s="39"/>
      <c r="AJ32" s="37"/>
      <c r="AK32" s="37"/>
      <c r="AL32" s="40"/>
      <c r="AM32" s="40"/>
      <c r="AN32" s="40"/>
      <c r="AO32" s="41"/>
      <c r="AP32" s="39"/>
      <c r="AQ32" s="37"/>
      <c r="AR32" s="37"/>
      <c r="AS32" s="37"/>
      <c r="AT32" s="343" t="s">
        <v>21</v>
      </c>
      <c r="AU32" s="344"/>
      <c r="AV32" s="79">
        <v>198</v>
      </c>
      <c r="AW32" s="40"/>
      <c r="AX32" s="40"/>
      <c r="AY32" s="41"/>
      <c r="AZ32" s="37"/>
      <c r="BA32" s="37"/>
      <c r="BB32" s="37"/>
      <c r="BC32" s="17"/>
      <c r="BD32" s="23"/>
      <c r="BE32" s="23"/>
      <c r="BF32" s="18"/>
    </row>
    <row r="33" spans="1:85" ht="12.6" customHeight="1">
      <c r="B33" s="230"/>
      <c r="C33" s="37"/>
      <c r="D33" s="37"/>
      <c r="E33" s="37"/>
      <c r="F33" s="37"/>
      <c r="G33" s="38"/>
      <c r="H33" s="39"/>
      <c r="I33" s="37"/>
      <c r="J33" s="37"/>
      <c r="L33" s="80">
        <v>190.30086309999999</v>
      </c>
      <c r="M33" s="81">
        <v>190.30086309999999</v>
      </c>
      <c r="N33" s="82">
        <v>190.30086309999999</v>
      </c>
      <c r="O33" s="37"/>
      <c r="P33" s="37"/>
      <c r="Q33" s="37"/>
      <c r="R33" s="37"/>
      <c r="S33" s="37"/>
      <c r="Z33" s="37"/>
      <c r="AA33" s="37"/>
      <c r="AB33" s="37"/>
      <c r="AC33" s="37"/>
      <c r="AD33" s="37"/>
      <c r="AE33" s="343" t="s">
        <v>22</v>
      </c>
      <c r="AF33" s="344"/>
      <c r="AG33" s="79">
        <v>108.9</v>
      </c>
      <c r="AH33" s="37"/>
      <c r="AI33" s="39"/>
      <c r="AJ33" s="37"/>
      <c r="AK33" s="37"/>
      <c r="AL33" s="40"/>
      <c r="AM33" s="40"/>
      <c r="AN33" s="40"/>
      <c r="AO33" s="41"/>
      <c r="AP33" s="39"/>
      <c r="AQ33" s="37"/>
      <c r="AR33" s="37"/>
      <c r="AS33" s="37"/>
      <c r="AT33" s="343" t="s">
        <v>22</v>
      </c>
      <c r="AU33" s="344"/>
      <c r="AV33" s="79">
        <v>84.15</v>
      </c>
      <c r="AW33" s="40"/>
      <c r="AX33" s="40"/>
      <c r="AY33" s="41"/>
      <c r="AZ33" s="37"/>
      <c r="BA33" s="37"/>
      <c r="BB33" s="37"/>
      <c r="BC33" s="17"/>
      <c r="BD33" s="23"/>
      <c r="BE33" s="23"/>
      <c r="BF33" s="18"/>
    </row>
    <row r="34" spans="1:85" ht="12.6" customHeight="1">
      <c r="B34" s="230"/>
      <c r="C34" s="37"/>
      <c r="D34" s="37"/>
      <c r="E34" s="37"/>
      <c r="F34" s="37"/>
      <c r="G34" s="38"/>
      <c r="H34" s="39"/>
      <c r="I34" s="37"/>
      <c r="J34" s="37"/>
      <c r="O34" s="37"/>
      <c r="P34" s="37"/>
      <c r="Q34" s="37"/>
      <c r="R34" s="37"/>
      <c r="S34" s="37"/>
      <c r="Z34" s="37"/>
      <c r="AA34" s="37"/>
      <c r="AB34" s="37"/>
      <c r="AC34" s="37"/>
      <c r="AD34" s="37"/>
      <c r="AE34" s="80">
        <v>165</v>
      </c>
      <c r="AF34" s="81">
        <v>165</v>
      </c>
      <c r="AG34" s="82">
        <v>165</v>
      </c>
      <c r="AH34" s="37"/>
      <c r="AI34" s="39"/>
      <c r="AJ34" s="37"/>
      <c r="AK34" s="37"/>
      <c r="AL34" s="40"/>
      <c r="AM34" s="40"/>
      <c r="AN34" s="40"/>
      <c r="AO34" s="41"/>
      <c r="AP34" s="39"/>
      <c r="AQ34" s="37"/>
      <c r="AR34" s="37"/>
      <c r="AS34" s="37"/>
      <c r="AT34" s="80">
        <v>179.6295843</v>
      </c>
      <c r="AU34" s="81">
        <v>179.6295843</v>
      </c>
      <c r="AV34" s="82">
        <v>179.6295843</v>
      </c>
      <c r="AW34" s="40"/>
      <c r="AX34" s="40"/>
      <c r="AY34" s="41"/>
      <c r="AZ34" s="37"/>
      <c r="BA34" s="37"/>
      <c r="BB34" s="37"/>
      <c r="BC34" s="17"/>
      <c r="BD34" s="23"/>
      <c r="BE34" s="23"/>
      <c r="BF34" s="18"/>
    </row>
    <row r="35" spans="1:85" ht="12.6" customHeight="1">
      <c r="B35" s="230"/>
      <c r="C35" s="37"/>
      <c r="D35" s="37"/>
      <c r="E35" s="37"/>
      <c r="F35" s="37"/>
      <c r="G35" s="38"/>
      <c r="H35" s="3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Z35" s="37"/>
      <c r="AA35" s="37"/>
      <c r="AB35" s="37"/>
      <c r="AC35" s="37"/>
      <c r="AD35" s="37"/>
      <c r="AE35" s="37"/>
      <c r="AF35" s="37"/>
      <c r="AG35" s="37"/>
      <c r="AH35" s="37"/>
      <c r="AI35" s="39"/>
      <c r="AJ35" s="37"/>
      <c r="AK35" s="37"/>
      <c r="AL35" s="40"/>
      <c r="AM35" s="40"/>
      <c r="AN35" s="40"/>
      <c r="AO35" s="41"/>
      <c r="AP35" s="39"/>
      <c r="AQ35" s="37"/>
      <c r="AR35" s="37"/>
      <c r="AS35" s="37"/>
      <c r="AT35" s="37"/>
      <c r="AU35" s="40"/>
      <c r="AV35" s="40"/>
      <c r="AW35" s="40"/>
      <c r="AX35" s="40"/>
      <c r="AY35" s="41"/>
      <c r="AZ35" s="37"/>
      <c r="BA35" s="37"/>
      <c r="BB35" s="37"/>
      <c r="BC35" s="17"/>
      <c r="BD35" s="23"/>
      <c r="BE35" s="23"/>
      <c r="BF35" s="18"/>
    </row>
    <row r="36" spans="1:85" ht="12.6" customHeight="1">
      <c r="B36" s="230"/>
      <c r="C36" s="37"/>
      <c r="D36" s="37"/>
      <c r="E36" s="37"/>
      <c r="F36" s="37"/>
      <c r="G36" s="223" t="s">
        <v>28</v>
      </c>
      <c r="H36" s="223"/>
      <c r="I36" s="223"/>
      <c r="J36" s="173"/>
      <c r="K36" s="37"/>
      <c r="L36" s="37"/>
      <c r="M36" s="37"/>
      <c r="R36" s="37"/>
      <c r="S36" s="37"/>
      <c r="Z36" s="37"/>
      <c r="AA36" s="37"/>
      <c r="AB36" s="37"/>
      <c r="AC36" s="37"/>
      <c r="AD36" s="37"/>
      <c r="AE36" s="37"/>
      <c r="AF36" s="345" t="s">
        <v>28</v>
      </c>
      <c r="AG36" s="346"/>
      <c r="AH36" s="346"/>
      <c r="AI36" s="347"/>
      <c r="AJ36" s="37"/>
      <c r="AK36" s="37"/>
      <c r="AL36" s="40"/>
      <c r="AM36" s="40"/>
      <c r="AN36" s="40"/>
      <c r="AO36" s="41"/>
      <c r="AP36" s="39"/>
      <c r="AQ36" s="37"/>
      <c r="AR36" s="37"/>
      <c r="AS36" s="37"/>
      <c r="AT36" s="37"/>
      <c r="AU36" s="40"/>
      <c r="AV36" s="40"/>
      <c r="AW36" s="40"/>
      <c r="AX36" s="40"/>
      <c r="AY36" s="41"/>
      <c r="AZ36" s="37"/>
      <c r="BA36" s="37"/>
      <c r="BB36" s="37"/>
      <c r="BC36" s="17"/>
      <c r="BD36" s="23"/>
      <c r="BE36" s="23"/>
      <c r="BF36" s="18"/>
    </row>
    <row r="37" spans="1:85" ht="12.6" customHeight="1">
      <c r="B37" s="230"/>
      <c r="C37" s="37"/>
      <c r="D37" s="37"/>
      <c r="E37" s="37"/>
      <c r="F37" s="37"/>
      <c r="G37" s="186">
        <f>SUM(J38:J43)</f>
        <v>702.43775894999999</v>
      </c>
      <c r="H37" s="186"/>
      <c r="I37" s="186"/>
      <c r="J37" s="231"/>
      <c r="K37" s="37"/>
      <c r="L37" s="37"/>
      <c r="M37" s="37"/>
      <c r="R37" s="37"/>
      <c r="S37" s="37"/>
      <c r="Z37" s="37"/>
      <c r="AA37" s="37"/>
      <c r="AB37" s="37"/>
      <c r="AC37" s="37"/>
      <c r="AD37" s="37"/>
      <c r="AE37" s="37"/>
      <c r="AF37" s="348">
        <f>SUM(AI38:AI43)</f>
        <v>807.10034396000003</v>
      </c>
      <c r="AG37" s="349"/>
      <c r="AH37" s="349"/>
      <c r="AI37" s="350"/>
      <c r="AJ37" s="37"/>
      <c r="AK37" s="37"/>
      <c r="AL37" s="40"/>
      <c r="AM37" s="40"/>
      <c r="AN37" s="40"/>
      <c r="AO37" s="41"/>
      <c r="AP37" s="39"/>
      <c r="AQ37" s="37"/>
      <c r="AR37" s="37"/>
      <c r="AS37" s="37"/>
      <c r="AT37" s="37"/>
      <c r="AU37" s="40"/>
      <c r="AV37" s="40"/>
      <c r="AW37" s="40"/>
      <c r="AX37" s="40"/>
      <c r="AY37" s="41"/>
      <c r="AZ37" s="37"/>
      <c r="BA37" s="37"/>
      <c r="BB37" s="37"/>
      <c r="BC37" s="17"/>
      <c r="BD37" s="23"/>
      <c r="BE37" s="23"/>
      <c r="BF37" s="18"/>
    </row>
    <row r="38" spans="1:85" ht="12.6" customHeight="1">
      <c r="B38" s="230"/>
      <c r="C38" s="37"/>
      <c r="D38" s="37"/>
      <c r="E38" s="37"/>
      <c r="F38" s="37"/>
      <c r="G38" s="72" t="s">
        <v>17</v>
      </c>
      <c r="H38" s="73"/>
      <c r="I38" s="74"/>
      <c r="J38" s="75">
        <v>16</v>
      </c>
      <c r="K38" s="37"/>
      <c r="L38" s="37"/>
      <c r="M38" s="37"/>
      <c r="R38" s="37"/>
      <c r="S38" s="37"/>
      <c r="Z38" s="37"/>
      <c r="AA38" s="37"/>
      <c r="AB38" s="37"/>
      <c r="AC38" s="37"/>
      <c r="AD38" s="37"/>
      <c r="AE38" s="37"/>
      <c r="AF38" s="351" t="s">
        <v>17</v>
      </c>
      <c r="AG38" s="352"/>
      <c r="AH38" s="353"/>
      <c r="AI38" s="79">
        <v>16.142470880000001</v>
      </c>
      <c r="AJ38" s="37"/>
      <c r="AK38" s="37"/>
      <c r="AL38" s="40"/>
      <c r="AM38" s="40"/>
      <c r="AN38" s="40"/>
      <c r="AO38" s="41"/>
      <c r="AP38" s="39"/>
      <c r="AQ38" s="37"/>
      <c r="AR38" s="37"/>
      <c r="AS38" s="37"/>
      <c r="AT38" s="37"/>
      <c r="AU38" s="40"/>
      <c r="AV38" s="40"/>
      <c r="AW38" s="40"/>
      <c r="AX38" s="40"/>
      <c r="AY38" s="41"/>
      <c r="AZ38" s="37"/>
      <c r="BA38" s="37"/>
      <c r="BB38" s="37"/>
      <c r="BC38" s="17"/>
      <c r="BD38" s="23"/>
      <c r="BE38" s="23"/>
      <c r="BF38" s="18"/>
    </row>
    <row r="39" spans="1:85" ht="12.6" customHeight="1">
      <c r="B39" s="230"/>
      <c r="C39" s="37"/>
      <c r="D39" s="37"/>
      <c r="E39" s="37"/>
      <c r="F39" s="37"/>
      <c r="G39" s="72" t="s">
        <v>18</v>
      </c>
      <c r="H39" s="73"/>
      <c r="I39" s="74"/>
      <c r="J39" s="75">
        <v>121.55028590000001</v>
      </c>
      <c r="K39" s="37"/>
      <c r="L39" s="37"/>
      <c r="M39" s="37"/>
      <c r="R39" s="37"/>
      <c r="S39" s="37"/>
      <c r="Z39" s="37"/>
      <c r="AA39" s="37"/>
      <c r="AB39" s="37"/>
      <c r="AC39" s="37"/>
      <c r="AD39" s="37"/>
      <c r="AE39" s="37"/>
      <c r="AF39" s="354" t="s">
        <v>18</v>
      </c>
      <c r="AG39" s="355"/>
      <c r="AH39" s="356"/>
      <c r="AI39" s="79">
        <v>39.552</v>
      </c>
      <c r="AJ39" s="37"/>
      <c r="AK39" s="37"/>
      <c r="AL39" s="40"/>
      <c r="AM39" s="40"/>
      <c r="AN39" s="40"/>
      <c r="AO39" s="41"/>
      <c r="AP39" s="39"/>
      <c r="AQ39" s="37"/>
      <c r="AR39" s="37"/>
      <c r="AS39" s="37"/>
      <c r="AT39" s="37"/>
      <c r="AU39" s="40"/>
      <c r="AV39" s="40"/>
      <c r="AW39" s="40"/>
      <c r="AX39" s="40"/>
      <c r="AY39" s="41"/>
      <c r="AZ39" s="37"/>
      <c r="BA39" s="37"/>
      <c r="BB39" s="37"/>
      <c r="BC39" s="17"/>
      <c r="BD39" s="23"/>
      <c r="BE39" s="23"/>
      <c r="BF39" s="18"/>
    </row>
    <row r="40" spans="1:85" ht="12.6" customHeight="1">
      <c r="B40" s="230"/>
      <c r="C40" s="37"/>
      <c r="D40" s="37"/>
      <c r="E40" s="37"/>
      <c r="F40" s="37"/>
      <c r="G40" s="72" t="s">
        <v>19</v>
      </c>
      <c r="H40" s="73"/>
      <c r="I40" s="74"/>
      <c r="J40" s="75">
        <v>34.132520249999999</v>
      </c>
      <c r="K40" s="37"/>
      <c r="L40" s="37"/>
      <c r="M40" s="37"/>
      <c r="R40" s="37"/>
      <c r="S40" s="37"/>
      <c r="Z40" s="37"/>
      <c r="AA40" s="37"/>
      <c r="AB40" s="37"/>
      <c r="AC40" s="37"/>
      <c r="AD40" s="37"/>
      <c r="AE40" s="37"/>
      <c r="AF40" s="351" t="s">
        <v>19</v>
      </c>
      <c r="AG40" s="352"/>
      <c r="AH40" s="353"/>
      <c r="AI40" s="79">
        <v>16.142470880000001</v>
      </c>
      <c r="AJ40" s="37"/>
      <c r="AK40" s="37"/>
      <c r="AL40" s="40"/>
      <c r="AM40" s="40"/>
      <c r="AN40" s="40"/>
      <c r="AO40" s="41"/>
      <c r="AP40" s="39"/>
      <c r="AQ40" s="37"/>
      <c r="AR40" s="37"/>
      <c r="AS40" s="37"/>
      <c r="AT40" s="37"/>
      <c r="AU40" s="40"/>
      <c r="AV40" s="40"/>
      <c r="AW40" s="40"/>
      <c r="AX40" s="40"/>
      <c r="AY40" s="41"/>
      <c r="AZ40" s="37"/>
      <c r="BA40" s="37"/>
      <c r="BB40" s="37"/>
      <c r="BC40" s="17"/>
      <c r="BD40" s="23"/>
      <c r="BE40" s="23"/>
      <c r="BF40" s="18"/>
    </row>
    <row r="41" spans="1:85" ht="12.6" customHeight="1">
      <c r="B41" s="230"/>
      <c r="C41" s="37"/>
      <c r="D41" s="37"/>
      <c r="E41" s="37"/>
      <c r="F41" s="37"/>
      <c r="G41" s="72" t="s">
        <v>20</v>
      </c>
      <c r="H41" s="73"/>
      <c r="I41" s="74"/>
      <c r="J41" s="75">
        <v>128.5150318</v>
      </c>
      <c r="K41" s="37"/>
      <c r="L41" s="37"/>
      <c r="M41" s="37"/>
      <c r="R41" s="37"/>
      <c r="S41" s="37"/>
      <c r="Z41" s="37"/>
      <c r="AA41" s="37"/>
      <c r="AB41" s="37"/>
      <c r="AC41" s="37"/>
      <c r="AD41" s="37"/>
      <c r="AE41" s="37"/>
      <c r="AF41" s="354" t="s">
        <v>20</v>
      </c>
      <c r="AG41" s="355"/>
      <c r="AH41" s="356"/>
      <c r="AI41" s="79">
        <v>161.42470879999999</v>
      </c>
      <c r="AJ41" s="37"/>
      <c r="AK41" s="37"/>
      <c r="AL41" s="40"/>
      <c r="AM41" s="40"/>
      <c r="AN41" s="40"/>
      <c r="AO41" s="41"/>
      <c r="AP41" s="39"/>
      <c r="AQ41" s="37"/>
      <c r="AR41" s="37"/>
      <c r="AS41" s="37"/>
      <c r="AT41" s="37"/>
      <c r="AU41" s="40"/>
      <c r="AV41" s="40"/>
      <c r="AW41" s="40"/>
      <c r="AX41" s="40"/>
      <c r="AY41" s="41"/>
      <c r="AZ41" s="37"/>
      <c r="BA41" s="37"/>
      <c r="BB41" s="37"/>
      <c r="BC41" s="17"/>
      <c r="BD41" s="23"/>
      <c r="BE41" s="23"/>
      <c r="BF41" s="18"/>
    </row>
    <row r="42" spans="1:85" ht="12.6" customHeight="1">
      <c r="B42" s="230"/>
      <c r="C42" s="37"/>
      <c r="D42" s="37"/>
      <c r="E42" s="37"/>
      <c r="F42" s="37"/>
      <c r="G42" s="72" t="s">
        <v>21</v>
      </c>
      <c r="H42" s="73"/>
      <c r="I42" s="74"/>
      <c r="J42" s="75">
        <v>314.29216930000001</v>
      </c>
      <c r="K42" s="37"/>
      <c r="L42" s="37"/>
      <c r="M42" s="37"/>
      <c r="R42" s="37"/>
      <c r="S42" s="37"/>
      <c r="Z42" s="37"/>
      <c r="AA42" s="37"/>
      <c r="AB42" s="37"/>
      <c r="AC42" s="37"/>
      <c r="AD42" s="37"/>
      <c r="AE42" s="37"/>
      <c r="AF42" s="357" t="s">
        <v>21</v>
      </c>
      <c r="AG42" s="358"/>
      <c r="AH42" s="359"/>
      <c r="AI42" s="79">
        <v>444.6989264</v>
      </c>
      <c r="AJ42" s="37"/>
      <c r="AK42" s="37"/>
      <c r="AL42" s="40"/>
      <c r="AM42" s="40"/>
      <c r="AN42" s="40"/>
      <c r="AO42" s="41"/>
      <c r="AP42" s="39"/>
      <c r="AQ42" s="37"/>
      <c r="AR42" s="37"/>
      <c r="AS42" s="37"/>
      <c r="AT42" s="37"/>
      <c r="AU42" s="40"/>
      <c r="AV42" s="40"/>
      <c r="AW42" s="40"/>
      <c r="AX42" s="40"/>
      <c r="AY42" s="41"/>
      <c r="AZ42" s="37"/>
      <c r="BA42" s="37"/>
      <c r="BB42" s="37"/>
      <c r="BC42" s="17"/>
      <c r="BD42" s="23"/>
      <c r="BE42" s="23"/>
      <c r="BF42" s="18"/>
    </row>
    <row r="43" spans="1:85" ht="12.6" customHeight="1">
      <c r="B43" s="230"/>
      <c r="C43" s="37"/>
      <c r="D43" s="37"/>
      <c r="E43" s="37"/>
      <c r="F43" s="37"/>
      <c r="G43" s="72" t="s">
        <v>22</v>
      </c>
      <c r="H43" s="73"/>
      <c r="I43" s="74"/>
      <c r="J43" s="75">
        <v>87.947751699999998</v>
      </c>
      <c r="K43" s="37"/>
      <c r="L43" s="37"/>
      <c r="M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60" t="s">
        <v>22</v>
      </c>
      <c r="AG43" s="361"/>
      <c r="AH43" s="362"/>
      <c r="AI43" s="79">
        <v>129.13976700000001</v>
      </c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17"/>
      <c r="BD43" s="23"/>
      <c r="BE43" s="23"/>
      <c r="BF43" s="18"/>
    </row>
    <row r="44" spans="1:85" ht="12.6" customHeight="1">
      <c r="B44" s="230"/>
      <c r="C44" s="37"/>
      <c r="D44" s="37"/>
      <c r="E44" s="37"/>
      <c r="F44" s="37"/>
      <c r="G44" s="76">
        <v>175.6094397</v>
      </c>
      <c r="H44" s="77">
        <v>175.6094397</v>
      </c>
      <c r="I44" s="77">
        <v>175.6094397</v>
      </c>
      <c r="J44" s="78">
        <v>175.6094397</v>
      </c>
      <c r="L44" s="37"/>
      <c r="M44" s="37"/>
      <c r="R44"/>
      <c r="S44" s="37"/>
      <c r="T44" s="40"/>
      <c r="U44" s="40"/>
      <c r="V44" s="41"/>
      <c r="W44" s="37"/>
      <c r="X44" s="37"/>
      <c r="Y44" s="37"/>
      <c r="Z44" s="37"/>
      <c r="AA44" s="37"/>
      <c r="AB44" s="37"/>
      <c r="AC44" s="37"/>
      <c r="AD44" s="37"/>
      <c r="AE44" s="37"/>
      <c r="AF44" s="130">
        <v>201.77508599999999</v>
      </c>
      <c r="AG44" s="363">
        <v>201.77508599999999</v>
      </c>
      <c r="AH44" s="131">
        <v>201.77508599999999</v>
      </c>
      <c r="AI44" s="82">
        <v>201.77508599999999</v>
      </c>
      <c r="AL44" s="40"/>
      <c r="AM44" s="40"/>
      <c r="AN44" s="40"/>
      <c r="AO44" s="41"/>
      <c r="AP44" s="42"/>
      <c r="AQ44" s="42"/>
      <c r="AR44" s="42"/>
      <c r="AS44" s="42"/>
      <c r="AT44" s="42"/>
      <c r="AU44" s="40"/>
      <c r="AV44" s="40"/>
      <c r="AW44" s="40"/>
      <c r="AX44" s="40"/>
      <c r="AY44" s="41"/>
      <c r="AZ44" s="37"/>
      <c r="BA44" s="37"/>
      <c r="BB44" s="37"/>
      <c r="BC44" s="17"/>
      <c r="BD44" s="23"/>
      <c r="BE44" s="23"/>
      <c r="BF44" s="18"/>
    </row>
    <row r="45" spans="1:85" s="13" customFormat="1" ht="12.6" customHeight="1">
      <c r="A45" s="113"/>
      <c r="B45" s="230"/>
      <c r="C45" s="42"/>
      <c r="D45" s="42"/>
      <c r="E45" s="42"/>
      <c r="F45" s="42"/>
      <c r="G45" s="43"/>
      <c r="H45" s="113"/>
      <c r="I45" s="113"/>
      <c r="J45" s="113"/>
      <c r="K45" s="113"/>
      <c r="L45" s="44"/>
      <c r="M45" s="44"/>
      <c r="N45" s="44"/>
      <c r="O45"/>
      <c r="P45"/>
      <c r="Q45"/>
      <c r="R45"/>
      <c r="S45" s="42"/>
      <c r="T45" s="44"/>
      <c r="U45" s="44"/>
      <c r="V45" s="44"/>
      <c r="W45" s="42"/>
      <c r="X45" s="42"/>
      <c r="Y45" s="42"/>
      <c r="Z45" s="42"/>
      <c r="AA45" s="44"/>
      <c r="AB45" s="44"/>
      <c r="AC45" s="44"/>
      <c r="AD45" s="44"/>
      <c r="AE45" s="44"/>
      <c r="AF45" s="44"/>
      <c r="AG45" s="44"/>
      <c r="AH45" s="44"/>
      <c r="AI45" s="113"/>
      <c r="AJ45" s="113"/>
      <c r="AK45" s="113"/>
      <c r="AL45" s="44"/>
      <c r="AM45" s="44"/>
      <c r="AN45" s="44"/>
      <c r="AO45" s="44"/>
      <c r="AP45" s="42"/>
      <c r="AQ45" s="42"/>
      <c r="AR45" s="42"/>
      <c r="AS45" s="42"/>
      <c r="AT45" s="42"/>
      <c r="AU45" s="44"/>
      <c r="AV45" s="44"/>
      <c r="AW45" s="44"/>
      <c r="AX45" s="44"/>
      <c r="AY45" s="44"/>
      <c r="AZ45" s="42"/>
      <c r="BA45" s="42"/>
      <c r="BB45" s="42"/>
      <c r="BC45" s="221">
        <f>SUM(C27:BB27, C37:BB37)</f>
        <v>3114.3294452499999</v>
      </c>
      <c r="BD45" s="168"/>
      <c r="BE45" s="168"/>
      <c r="BF45" s="222"/>
      <c r="BG45" s="113"/>
      <c r="BH45" s="113"/>
      <c r="BI45" s="113"/>
      <c r="BJ45" s="113"/>
      <c r="BK45" s="113"/>
      <c r="BL45" s="113"/>
      <c r="BM45" s="113"/>
      <c r="BN45" s="113"/>
      <c r="BO45" s="113"/>
      <c r="BP45" s="113"/>
      <c r="BQ45" s="113"/>
      <c r="BR45" s="113"/>
      <c r="BS45" s="113"/>
      <c r="BT45" s="113"/>
      <c r="BU45" s="113"/>
      <c r="BV45" s="113"/>
      <c r="BW45" s="113"/>
      <c r="BX45" s="113"/>
      <c r="BY45" s="113"/>
      <c r="BZ45" s="113"/>
      <c r="CA45" s="113"/>
      <c r="CB45" s="113"/>
      <c r="CC45" s="113"/>
      <c r="CD45" s="113"/>
      <c r="CE45" s="113"/>
      <c r="CF45" s="113"/>
      <c r="CG45" s="113"/>
    </row>
    <row r="46" spans="1:85" ht="12.6" customHeight="1">
      <c r="B46" s="12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11"/>
      <c r="BC46" s="19"/>
      <c r="BD46" s="20"/>
      <c r="BE46" s="20"/>
      <c r="BF46" s="21"/>
    </row>
    <row r="47" spans="1:85" ht="12.6" customHeight="1">
      <c r="B47" s="224" t="s">
        <v>29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149"/>
      <c r="BD47" s="150"/>
      <c r="BE47" s="150"/>
      <c r="BF47" s="151"/>
    </row>
    <row r="48" spans="1:85" ht="12.6" customHeight="1">
      <c r="B48" s="225"/>
      <c r="C48" s="36"/>
      <c r="D48" s="36"/>
      <c r="E48" s="36"/>
      <c r="F48" s="36"/>
      <c r="L48" s="36"/>
      <c r="M48" s="36"/>
      <c r="N48"/>
      <c r="O48"/>
      <c r="P48"/>
      <c r="Q48"/>
      <c r="R48"/>
      <c r="S48" s="36"/>
      <c r="T48" s="36"/>
      <c r="U48" s="212" t="s">
        <v>30</v>
      </c>
      <c r="V48" s="213"/>
      <c r="W48" s="213"/>
      <c r="X48" s="213"/>
      <c r="Y48" s="214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212" t="s">
        <v>30</v>
      </c>
      <c r="AK48" s="213"/>
      <c r="AL48" s="214"/>
      <c r="AP48"/>
      <c r="AQ48" s="36"/>
      <c r="AR48" s="36"/>
      <c r="AS48" s="36"/>
      <c r="AT48" s="36"/>
      <c r="AU48" s="212" t="s">
        <v>30</v>
      </c>
      <c r="AV48" s="213"/>
      <c r="AW48" s="214"/>
      <c r="AX48"/>
      <c r="AY48" s="47"/>
      <c r="AZ48" s="47"/>
      <c r="BA48" s="47"/>
      <c r="BB48" s="36"/>
      <c r="BC48" s="149"/>
      <c r="BD48" s="150"/>
      <c r="BE48" s="150"/>
      <c r="BF48" s="151"/>
    </row>
    <row r="49" spans="2:58" ht="12.6" customHeight="1">
      <c r="B49" s="225"/>
      <c r="C49" s="36"/>
      <c r="D49" s="36"/>
      <c r="E49" s="36"/>
      <c r="F49" s="36"/>
      <c r="L49" s="36"/>
      <c r="M49" s="36"/>
      <c r="N49"/>
      <c r="O49"/>
      <c r="P49"/>
      <c r="Q49"/>
      <c r="R49"/>
      <c r="S49" s="36"/>
      <c r="T49" s="36"/>
      <c r="U49" s="226">
        <f>SUM(Y50:Y55)</f>
        <v>1469.1830500000001</v>
      </c>
      <c r="V49" s="227"/>
      <c r="W49" s="227"/>
      <c r="X49" s="227"/>
      <c r="Y49" s="228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218">
        <f>SUM(AL50:AL55)</f>
        <v>539.51400000000001</v>
      </c>
      <c r="AK49" s="219"/>
      <c r="AL49" s="220"/>
      <c r="AP49"/>
      <c r="AQ49" s="36"/>
      <c r="AR49" s="36"/>
      <c r="AS49" s="36"/>
      <c r="AT49" s="36"/>
      <c r="AU49" s="215">
        <f>SUM(AW50:AW55)</f>
        <v>572.13660000000004</v>
      </c>
      <c r="AV49" s="216"/>
      <c r="AW49" s="217"/>
      <c r="AX49"/>
      <c r="AY49" s="42"/>
      <c r="AZ49" s="42"/>
      <c r="BA49" s="42"/>
      <c r="BB49" s="36"/>
      <c r="BC49" s="149"/>
      <c r="BD49" s="150"/>
      <c r="BE49" s="150"/>
      <c r="BF49" s="151"/>
    </row>
    <row r="50" spans="2:58" ht="12.6" customHeight="1">
      <c r="B50" s="225"/>
      <c r="C50" s="36"/>
      <c r="D50" s="36"/>
      <c r="E50" s="36"/>
      <c r="F50" s="36"/>
      <c r="L50" s="36"/>
      <c r="M50" s="36"/>
      <c r="N50" s="36"/>
      <c r="O50" s="36"/>
      <c r="P50" s="36"/>
      <c r="Q50" s="36"/>
      <c r="R50" s="36"/>
      <c r="S50" s="36"/>
      <c r="T50" s="36"/>
      <c r="U50" s="83" t="s">
        <v>17</v>
      </c>
      <c r="V50" s="73"/>
      <c r="W50" s="121"/>
      <c r="X50" s="122"/>
      <c r="Y50" s="120">
        <v>13.5</v>
      </c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4" t="s">
        <v>17</v>
      </c>
      <c r="AK50" s="365"/>
      <c r="AL50" s="88">
        <v>5.85</v>
      </c>
      <c r="AP50" s="36"/>
      <c r="AQ50" s="36"/>
      <c r="AR50" s="36"/>
      <c r="AS50" s="36"/>
      <c r="AT50" s="36"/>
      <c r="AU50" s="366" t="s">
        <v>17</v>
      </c>
      <c r="AV50" s="342"/>
      <c r="AW50" s="88">
        <v>11.7</v>
      </c>
      <c r="AX50" s="36"/>
      <c r="AY50" s="36"/>
      <c r="AZ50" s="36"/>
      <c r="BA50" s="36"/>
      <c r="BB50" s="36"/>
      <c r="BC50" s="149"/>
      <c r="BD50" s="150"/>
      <c r="BE50" s="150"/>
      <c r="BF50" s="151"/>
    </row>
    <row r="51" spans="2:58" ht="12.6" customHeight="1">
      <c r="B51" s="225"/>
      <c r="C51" s="36"/>
      <c r="D51" s="36"/>
      <c r="E51" s="36"/>
      <c r="F51" s="36"/>
      <c r="L51" s="36"/>
      <c r="M51" s="36"/>
      <c r="N51" s="36"/>
      <c r="O51" s="36"/>
      <c r="P51" s="36"/>
      <c r="Q51" s="36"/>
      <c r="R51" s="36"/>
      <c r="S51" s="36"/>
      <c r="T51" s="36"/>
      <c r="U51" s="83" t="s">
        <v>18</v>
      </c>
      <c r="V51" s="73"/>
      <c r="W51" s="121"/>
      <c r="X51" s="122"/>
      <c r="Y51" s="120">
        <v>267.68304999999998</v>
      </c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7" t="s">
        <v>18</v>
      </c>
      <c r="AK51" s="368"/>
      <c r="AL51" s="88">
        <v>127.089</v>
      </c>
      <c r="AP51" s="36"/>
      <c r="AQ51" s="36"/>
      <c r="AR51" s="36"/>
      <c r="AS51" s="36"/>
      <c r="AT51" s="36"/>
      <c r="AU51" s="369" t="s">
        <v>18</v>
      </c>
      <c r="AV51" s="344"/>
      <c r="AW51" s="88">
        <v>104.1366</v>
      </c>
      <c r="AX51" s="36"/>
      <c r="AY51" s="36"/>
      <c r="AZ51" s="36"/>
      <c r="BA51" s="36"/>
      <c r="BB51" s="36"/>
      <c r="BC51" s="149"/>
      <c r="BD51" s="150"/>
      <c r="BE51" s="150"/>
      <c r="BF51" s="151"/>
    </row>
    <row r="52" spans="2:58" ht="12.6" customHeight="1">
      <c r="B52" s="225"/>
      <c r="C52" s="36"/>
      <c r="D52" s="36"/>
      <c r="E52" s="36"/>
      <c r="F52" s="36"/>
      <c r="L52" s="36"/>
      <c r="M52" s="36"/>
      <c r="N52" s="36"/>
      <c r="O52" s="36"/>
      <c r="P52" s="36"/>
      <c r="Q52" s="36"/>
      <c r="R52" s="36"/>
      <c r="S52" s="36"/>
      <c r="T52" s="36"/>
      <c r="U52" s="83" t="s">
        <v>19</v>
      </c>
      <c r="V52" s="73"/>
      <c r="W52" s="121"/>
      <c r="X52" s="122"/>
      <c r="Y52" s="120">
        <v>27</v>
      </c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4" t="s">
        <v>19</v>
      </c>
      <c r="AK52" s="365"/>
      <c r="AL52" s="88">
        <v>11.7</v>
      </c>
      <c r="AP52" s="36"/>
      <c r="AQ52" s="36"/>
      <c r="AR52" s="36"/>
      <c r="AS52" s="36"/>
      <c r="AT52" s="36"/>
      <c r="AU52" s="366" t="s">
        <v>19</v>
      </c>
      <c r="AV52" s="342"/>
      <c r="AW52" s="88">
        <v>11.7</v>
      </c>
      <c r="AX52" s="36"/>
      <c r="AY52" s="36"/>
      <c r="AZ52" s="36"/>
      <c r="BA52" s="36"/>
      <c r="BB52" s="36"/>
      <c r="BC52" s="149"/>
      <c r="BD52" s="150"/>
      <c r="BE52" s="150"/>
      <c r="BF52" s="151"/>
    </row>
    <row r="53" spans="2:58" ht="12.6" customHeight="1">
      <c r="B53" s="225"/>
      <c r="C53" s="36"/>
      <c r="D53" s="36"/>
      <c r="E53" s="36"/>
      <c r="F53" s="36"/>
      <c r="L53" s="36"/>
      <c r="M53" s="36"/>
      <c r="N53" s="36"/>
      <c r="O53" s="36"/>
      <c r="P53" s="36"/>
      <c r="Q53" s="36"/>
      <c r="R53" s="36"/>
      <c r="S53" s="36"/>
      <c r="T53" s="36"/>
      <c r="U53" s="83" t="s">
        <v>20</v>
      </c>
      <c r="V53" s="73"/>
      <c r="W53" s="121"/>
      <c r="X53" s="122"/>
      <c r="Y53" s="120">
        <v>283.5</v>
      </c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7" t="s">
        <v>20</v>
      </c>
      <c r="AK53" s="368"/>
      <c r="AL53" s="88">
        <v>76.05</v>
      </c>
      <c r="AP53" s="36"/>
      <c r="AQ53" s="36"/>
      <c r="AR53" s="36"/>
      <c r="AS53" s="36"/>
      <c r="AT53" s="36"/>
      <c r="AU53" s="369" t="s">
        <v>20</v>
      </c>
      <c r="AV53" s="344"/>
      <c r="AW53" s="88">
        <v>111.15</v>
      </c>
      <c r="AX53" s="36"/>
      <c r="AY53" s="36"/>
      <c r="AZ53" s="36"/>
      <c r="BA53" s="36"/>
      <c r="BB53" s="36"/>
      <c r="BC53" s="149"/>
      <c r="BD53" s="150"/>
      <c r="BE53" s="150"/>
      <c r="BF53" s="151"/>
    </row>
    <row r="54" spans="2:58" ht="12.6" customHeight="1">
      <c r="B54" s="225"/>
      <c r="C54" s="36"/>
      <c r="D54" s="36"/>
      <c r="E54" s="36"/>
      <c r="F54" s="36"/>
      <c r="L54" s="36"/>
      <c r="M54" s="36"/>
      <c r="N54" s="36"/>
      <c r="O54" s="36"/>
      <c r="P54" s="36"/>
      <c r="Q54" s="36"/>
      <c r="R54" s="36"/>
      <c r="S54" s="36"/>
      <c r="T54" s="36"/>
      <c r="U54" s="83" t="s">
        <v>21</v>
      </c>
      <c r="V54" s="73"/>
      <c r="W54" s="121"/>
      <c r="X54" s="122"/>
      <c r="Y54" s="120">
        <v>661.5</v>
      </c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7" t="s">
        <v>21</v>
      </c>
      <c r="AK54" s="368"/>
      <c r="AL54" s="88">
        <v>254.47499999999999</v>
      </c>
      <c r="AP54" s="36"/>
      <c r="AQ54" s="36"/>
      <c r="AR54" s="36"/>
      <c r="AS54" s="36"/>
      <c r="AT54" s="36"/>
      <c r="AU54" s="369" t="s">
        <v>21</v>
      </c>
      <c r="AV54" s="344"/>
      <c r="AW54" s="88">
        <v>263.25</v>
      </c>
      <c r="AX54" s="36"/>
      <c r="AY54" s="36"/>
      <c r="AZ54" s="36"/>
      <c r="BA54" s="36"/>
      <c r="BB54" s="36"/>
      <c r="BC54" s="149"/>
      <c r="BD54" s="150"/>
      <c r="BE54" s="150"/>
      <c r="BF54" s="151"/>
    </row>
    <row r="55" spans="2:58" ht="12.6" customHeight="1">
      <c r="B55" s="225"/>
      <c r="C55" s="36"/>
      <c r="D55" s="36"/>
      <c r="E55" s="36"/>
      <c r="F55" s="36"/>
      <c r="L55" s="36"/>
      <c r="M55" s="36"/>
      <c r="N55" s="36"/>
      <c r="O55" s="36"/>
      <c r="P55" s="36"/>
      <c r="Q55" s="36"/>
      <c r="R55" s="36"/>
      <c r="S55" s="36"/>
      <c r="T55" s="36"/>
      <c r="U55" s="83" t="s">
        <v>22</v>
      </c>
      <c r="V55" s="73"/>
      <c r="W55" s="50"/>
      <c r="X55" s="122"/>
      <c r="Y55" s="120">
        <v>216</v>
      </c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7" t="s">
        <v>22</v>
      </c>
      <c r="AK55" s="368"/>
      <c r="AL55" s="88">
        <v>64.349999999999994</v>
      </c>
      <c r="AP55" s="36"/>
      <c r="AQ55" s="36"/>
      <c r="AR55" s="36"/>
      <c r="AS55" s="36"/>
      <c r="AT55" s="36"/>
      <c r="AU55" s="369" t="s">
        <v>22</v>
      </c>
      <c r="AV55" s="344"/>
      <c r="AW55" s="88">
        <v>70.2</v>
      </c>
      <c r="AX55" s="36"/>
      <c r="AY55" s="36"/>
      <c r="AZ55" s="36"/>
      <c r="BA55" s="36"/>
      <c r="BB55" s="36"/>
      <c r="BC55" s="149"/>
      <c r="BD55" s="150"/>
      <c r="BE55" s="150"/>
      <c r="BF55" s="151"/>
    </row>
    <row r="56" spans="2:58" ht="12.6" customHeight="1">
      <c r="B56" s="225"/>
      <c r="C56" s="36"/>
      <c r="D56" s="36"/>
      <c r="E56" s="36"/>
      <c r="F56" s="36"/>
      <c r="L56" s="36"/>
      <c r="M56" s="36"/>
      <c r="N56" s="36"/>
      <c r="O56" s="36"/>
      <c r="P56" s="36"/>
      <c r="Q56" s="36"/>
      <c r="R56" s="36"/>
      <c r="S56" s="36"/>
      <c r="T56" s="36"/>
      <c r="U56" s="85">
        <v>293.83661000000001</v>
      </c>
      <c r="V56" s="86">
        <v>293.83661000000001</v>
      </c>
      <c r="W56" s="62">
        <v>293.83661000000001</v>
      </c>
      <c r="X56" s="124">
        <v>293.83661000000001</v>
      </c>
      <c r="Y56" s="123">
        <v>293.83661000000001</v>
      </c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89">
        <v>179.83799999999999</v>
      </c>
      <c r="AK56" s="90">
        <v>179.83799999999999</v>
      </c>
      <c r="AL56" s="91">
        <v>179.83799999999999</v>
      </c>
      <c r="AP56" s="36"/>
      <c r="AQ56" s="36"/>
      <c r="AR56" s="36"/>
      <c r="AS56" s="36"/>
      <c r="AT56" s="36"/>
      <c r="AU56" s="89">
        <v>190.7122</v>
      </c>
      <c r="AV56" s="90">
        <v>190.7122</v>
      </c>
      <c r="AW56" s="91">
        <v>190.7122</v>
      </c>
      <c r="AX56" s="36"/>
      <c r="AY56" s="36"/>
      <c r="AZ56" s="36"/>
      <c r="BA56" s="36"/>
      <c r="BB56" s="36"/>
      <c r="BC56" s="149"/>
      <c r="BD56" s="150"/>
      <c r="BE56" s="150"/>
      <c r="BF56" s="151"/>
    </row>
    <row r="57" spans="2:58" ht="12.6" customHeight="1">
      <c r="B57" s="225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221">
        <f>SUM(C49:BB49)</f>
        <v>2580.8336500000005</v>
      </c>
      <c r="BD57" s="168"/>
      <c r="BE57" s="168"/>
      <c r="BF57" s="222"/>
    </row>
    <row r="58" spans="2:58" ht="15.6">
      <c r="B58" s="12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19"/>
      <c r="BD58" s="20"/>
      <c r="BE58" s="20"/>
      <c r="BF58" s="21"/>
    </row>
    <row r="59" spans="2:58" ht="12.6" customHeight="1">
      <c r="B59" s="234" t="s">
        <v>31</v>
      </c>
      <c r="C59" s="14"/>
      <c r="D59" s="14"/>
      <c r="E59" s="14"/>
      <c r="F59" s="14"/>
      <c r="G59" s="14"/>
      <c r="H59" s="14"/>
      <c r="I59" s="14"/>
      <c r="J59" s="14"/>
      <c r="K59" s="14"/>
      <c r="L59" s="116"/>
      <c r="M59" s="116"/>
      <c r="N59" s="116"/>
      <c r="O59" s="116"/>
      <c r="P59" s="116"/>
      <c r="Q59" s="116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6"/>
      <c r="AE59" s="116"/>
      <c r="AF59" s="116"/>
      <c r="AG59" s="116"/>
      <c r="AH59" s="117"/>
      <c r="AI59" s="117"/>
      <c r="AJ59" s="117"/>
      <c r="AK59" s="117"/>
      <c r="AL59" s="117"/>
      <c r="AM59" s="117"/>
      <c r="AN59" s="117"/>
      <c r="AO59" s="117"/>
      <c r="AP59" s="118"/>
      <c r="AQ59" s="118"/>
      <c r="AR59" s="118"/>
      <c r="AS59" s="118"/>
      <c r="AT59" s="118"/>
      <c r="AU59" s="14"/>
      <c r="AV59" s="14"/>
      <c r="AW59" s="14"/>
      <c r="AX59" s="14"/>
      <c r="AY59" s="14"/>
      <c r="AZ59" s="14"/>
      <c r="BA59" s="14"/>
      <c r="BB59" s="14"/>
      <c r="BC59" s="17"/>
      <c r="BD59" s="23"/>
      <c r="BE59" s="23"/>
      <c r="BF59" s="18"/>
    </row>
    <row r="60" spans="2:58" ht="12.6" customHeight="1">
      <c r="B60" s="235"/>
      <c r="C60" s="208" t="s">
        <v>32</v>
      </c>
      <c r="D60" s="208"/>
      <c r="E60" s="208"/>
      <c r="F60" s="208"/>
      <c r="G60" s="209"/>
      <c r="I60" s="243" t="s">
        <v>33</v>
      </c>
      <c r="J60" s="208"/>
      <c r="K60" s="209"/>
      <c r="N60" s="46"/>
      <c r="O60" s="119"/>
      <c r="S60" s="243" t="s">
        <v>34</v>
      </c>
      <c r="T60" s="208"/>
      <c r="U60" s="208"/>
      <c r="V60" s="209"/>
      <c r="W60" s="113"/>
      <c r="X60" s="113"/>
      <c r="Y60" s="113"/>
      <c r="Z60" s="48"/>
      <c r="AA60" s="48"/>
      <c r="AB60" s="48"/>
      <c r="AC60" s="48"/>
      <c r="AD60" s="48"/>
      <c r="AE60" s="113"/>
      <c r="AI60"/>
      <c r="AL60" s="243" t="s">
        <v>35</v>
      </c>
      <c r="AM60" s="208"/>
      <c r="AN60" s="208"/>
      <c r="AO60" s="370"/>
      <c r="AP60" s="247" t="s">
        <v>36</v>
      </c>
      <c r="AQ60" s="248"/>
      <c r="AR60" s="248"/>
      <c r="AS60" s="249"/>
      <c r="AV60" s="48"/>
      <c r="AW60" s="48"/>
      <c r="AX60" s="48"/>
      <c r="BC60" s="17"/>
      <c r="BD60" s="23"/>
      <c r="BE60" s="23"/>
      <c r="BF60" s="18"/>
    </row>
    <row r="61" spans="2:58" ht="12.6" customHeight="1">
      <c r="B61" s="235"/>
      <c r="C61" s="210">
        <f>SUM(G62:G66)</f>
        <v>1012.2836</v>
      </c>
      <c r="D61" s="210"/>
      <c r="E61" s="210"/>
      <c r="F61" s="210"/>
      <c r="G61" s="211"/>
      <c r="I61" s="244">
        <f>SUM(K62:K65)</f>
        <v>554.51909999999998</v>
      </c>
      <c r="J61" s="245"/>
      <c r="K61" s="246"/>
      <c r="N61" s="42"/>
      <c r="O61" s="24"/>
      <c r="S61" s="244">
        <f>SUM(V62:V65)</f>
        <v>653.40329999999994</v>
      </c>
      <c r="T61" s="245"/>
      <c r="U61" s="245"/>
      <c r="V61" s="246"/>
      <c r="W61" s="113"/>
      <c r="X61" s="113"/>
      <c r="Y61" s="113"/>
      <c r="Z61" s="42"/>
      <c r="AA61" s="42"/>
      <c r="AB61" s="42"/>
      <c r="AC61" s="42"/>
      <c r="AD61" s="42"/>
      <c r="AE61" s="113"/>
      <c r="AI61"/>
      <c r="AL61" s="244">
        <f>SUM(AO62:AO65)</f>
        <v>720</v>
      </c>
      <c r="AM61" s="245"/>
      <c r="AN61" s="245"/>
      <c r="AO61" s="273"/>
      <c r="AP61" s="187">
        <f>SUM(AS62:AS67)</f>
        <v>960.67939999999999</v>
      </c>
      <c r="AQ61" s="186"/>
      <c r="AR61" s="186"/>
      <c r="AS61" s="239"/>
      <c r="AV61" s="42"/>
      <c r="AW61" s="42"/>
      <c r="AX61" s="42"/>
      <c r="BC61" s="17"/>
      <c r="BD61" s="23"/>
      <c r="BE61" s="23"/>
      <c r="BF61" s="18"/>
    </row>
    <row r="62" spans="2:58" ht="12.6" customHeight="1">
      <c r="B62" s="235"/>
      <c r="C62" s="73" t="s">
        <v>37</v>
      </c>
      <c r="G62" s="371">
        <v>17.952400000000001</v>
      </c>
      <c r="H62" s="132"/>
      <c r="I62" s="72" t="s">
        <v>18</v>
      </c>
      <c r="J62" s="92"/>
      <c r="K62" s="75">
        <v>187.31909999999999</v>
      </c>
      <c r="N62" s="25"/>
      <c r="O62" s="25"/>
      <c r="P62" s="25"/>
      <c r="Q62" s="24"/>
      <c r="S62" s="72" t="s">
        <v>18</v>
      </c>
      <c r="T62" s="92"/>
      <c r="U62" s="92"/>
      <c r="V62" s="75">
        <v>122.99809999999999</v>
      </c>
      <c r="AD62" s="25"/>
      <c r="AE62" s="25"/>
      <c r="AF62" s="25"/>
      <c r="AG62" s="24"/>
      <c r="AL62" s="72" t="s">
        <v>18</v>
      </c>
      <c r="AM62" s="92"/>
      <c r="AN62" s="92"/>
      <c r="AO62" s="75">
        <v>165.6</v>
      </c>
      <c r="AP62" s="83" t="s">
        <v>17</v>
      </c>
      <c r="AQ62" s="73"/>
      <c r="AR62" s="74"/>
      <c r="AS62" s="84">
        <v>8.6</v>
      </c>
      <c r="AT62" s="33"/>
      <c r="BC62" s="17"/>
      <c r="BD62" s="23"/>
      <c r="BE62" s="23"/>
      <c r="BF62" s="18"/>
    </row>
    <row r="63" spans="2:58" ht="12.6" customHeight="1">
      <c r="B63" s="235"/>
      <c r="C63" s="73" t="s">
        <v>18</v>
      </c>
      <c r="D63" s="92"/>
      <c r="E63" s="92"/>
      <c r="F63" s="92"/>
      <c r="G63" s="99">
        <v>318.81079999999997</v>
      </c>
      <c r="I63" s="72" t="s">
        <v>20</v>
      </c>
      <c r="J63" s="73"/>
      <c r="K63" s="75">
        <v>64.8</v>
      </c>
      <c r="N63" s="25"/>
      <c r="O63" s="25"/>
      <c r="P63" s="25"/>
      <c r="Q63" s="24"/>
      <c r="S63" s="72" t="s">
        <v>20</v>
      </c>
      <c r="T63" s="73"/>
      <c r="U63" s="73"/>
      <c r="V63" s="75">
        <v>87.110200000000006</v>
      </c>
      <c r="AD63" s="25"/>
      <c r="AE63" s="25"/>
      <c r="AF63" s="25"/>
      <c r="AG63" s="24"/>
      <c r="AL63" s="72" t="s">
        <v>20</v>
      </c>
      <c r="AM63" s="73"/>
      <c r="AN63" s="73"/>
      <c r="AO63" s="75">
        <v>93.6</v>
      </c>
      <c r="AP63" s="83" t="s">
        <v>18</v>
      </c>
      <c r="AQ63" s="73"/>
      <c r="AR63" s="74"/>
      <c r="AS63" s="84">
        <v>345.77940000000001</v>
      </c>
      <c r="AT63" s="33"/>
      <c r="BC63" s="17"/>
      <c r="BD63" s="23"/>
      <c r="BE63" s="23"/>
      <c r="BF63" s="18"/>
    </row>
    <row r="64" spans="2:58" ht="12.6" customHeight="1">
      <c r="B64" s="235"/>
      <c r="C64" s="73" t="s">
        <v>20</v>
      </c>
      <c r="D64" s="73"/>
      <c r="E64" s="73"/>
      <c r="F64" s="73"/>
      <c r="G64" s="75">
        <v>129.09639999999999</v>
      </c>
      <c r="I64" s="72" t="s">
        <v>21</v>
      </c>
      <c r="J64" s="92"/>
      <c r="K64" s="75">
        <v>244.8</v>
      </c>
      <c r="N64" s="25"/>
      <c r="O64" s="25"/>
      <c r="P64" s="25"/>
      <c r="Q64" s="24"/>
      <c r="S64" s="72" t="s">
        <v>21</v>
      </c>
      <c r="T64" s="92"/>
      <c r="U64" s="92"/>
      <c r="V64" s="75">
        <v>341</v>
      </c>
      <c r="AD64" s="25"/>
      <c r="AE64" s="25"/>
      <c r="AF64" s="25"/>
      <c r="AG64" s="24"/>
      <c r="AL64" s="72" t="s">
        <v>21</v>
      </c>
      <c r="AM64" s="92"/>
      <c r="AN64" s="92"/>
      <c r="AO64" s="75">
        <v>352.8</v>
      </c>
      <c r="AP64" s="83" t="s">
        <v>19</v>
      </c>
      <c r="AQ64" s="73"/>
      <c r="AR64" s="74"/>
      <c r="AS64" s="84">
        <v>12.9</v>
      </c>
      <c r="AT64" s="33"/>
      <c r="BC64" s="17"/>
      <c r="BD64" s="23"/>
      <c r="BE64" s="23"/>
      <c r="BF64" s="18"/>
    </row>
    <row r="65" spans="2:58" ht="12.6" customHeight="1">
      <c r="B65" s="235"/>
      <c r="C65" s="73" t="s">
        <v>21</v>
      </c>
      <c r="D65" s="92"/>
      <c r="E65" s="92"/>
      <c r="F65" s="92"/>
      <c r="G65" s="75">
        <v>413.75639999999999</v>
      </c>
      <c r="I65" s="93" t="s">
        <v>22</v>
      </c>
      <c r="J65" s="73"/>
      <c r="K65" s="75">
        <v>57.6</v>
      </c>
      <c r="N65" s="25"/>
      <c r="O65" s="25"/>
      <c r="P65" s="25"/>
      <c r="Q65" s="24"/>
      <c r="S65" s="93" t="s">
        <v>22</v>
      </c>
      <c r="T65" s="73"/>
      <c r="U65" s="73"/>
      <c r="V65" s="75">
        <v>102.295</v>
      </c>
      <c r="AD65" s="25"/>
      <c r="AE65" s="25"/>
      <c r="AF65" s="25"/>
      <c r="AG65" s="24"/>
      <c r="AL65" s="93" t="s">
        <v>22</v>
      </c>
      <c r="AM65" s="73"/>
      <c r="AN65" s="73"/>
      <c r="AO65" s="75">
        <v>108</v>
      </c>
      <c r="AP65" s="83" t="s">
        <v>20</v>
      </c>
      <c r="AQ65" s="73"/>
      <c r="AR65" s="74"/>
      <c r="AS65" s="84">
        <v>90.3</v>
      </c>
      <c r="AT65" s="33"/>
      <c r="BC65" s="17"/>
      <c r="BD65" s="23"/>
      <c r="BE65" s="23"/>
      <c r="BF65" s="18"/>
    </row>
    <row r="66" spans="2:58" ht="12.6" customHeight="1">
      <c r="B66" s="235"/>
      <c r="C66" s="94" t="s">
        <v>22</v>
      </c>
      <c r="D66" s="73"/>
      <c r="E66" s="73"/>
      <c r="F66" s="73"/>
      <c r="G66" s="75">
        <v>132.66759999999999</v>
      </c>
      <c r="I66" s="51">
        <v>184.83969999999999</v>
      </c>
      <c r="J66" s="52">
        <v>184.83969999999999</v>
      </c>
      <c r="K66" s="53">
        <v>184.83969999999999</v>
      </c>
      <c r="N66" s="25"/>
      <c r="O66" s="25"/>
      <c r="P66" s="25"/>
      <c r="Q66" s="24"/>
      <c r="S66" s="51">
        <v>163.35082499999999</v>
      </c>
      <c r="T66" s="52">
        <v>163.35082499999999</v>
      </c>
      <c r="U66" s="52">
        <v>163.35082499999999</v>
      </c>
      <c r="V66" s="53">
        <v>163.35082499999999</v>
      </c>
      <c r="AD66" s="25"/>
      <c r="AE66" s="25"/>
      <c r="AF66" s="25"/>
      <c r="AG66" s="24"/>
      <c r="AL66" s="51">
        <v>180</v>
      </c>
      <c r="AM66" s="52">
        <v>180</v>
      </c>
      <c r="AN66" s="52">
        <v>180</v>
      </c>
      <c r="AO66" s="53">
        <v>180</v>
      </c>
      <c r="AP66" s="83" t="s">
        <v>21</v>
      </c>
      <c r="AQ66" s="73"/>
      <c r="AR66" s="74"/>
      <c r="AS66" s="84">
        <v>412.8</v>
      </c>
      <c r="AT66" s="33"/>
      <c r="BC66" s="17"/>
      <c r="BD66" s="23"/>
      <c r="BE66" s="23"/>
      <c r="BF66" s="18"/>
    </row>
    <row r="67" spans="2:58" ht="12.6" customHeight="1">
      <c r="B67" s="235"/>
      <c r="C67" s="95">
        <v>251.15615560000001</v>
      </c>
      <c r="D67" s="52">
        <v>289.4510444</v>
      </c>
      <c r="E67" s="52">
        <v>235.8382</v>
      </c>
      <c r="F67" s="52">
        <v>206.35842500000001</v>
      </c>
      <c r="G67" s="53">
        <v>29.479775</v>
      </c>
      <c r="L67" s="25"/>
      <c r="M67" s="25"/>
      <c r="N67" s="25"/>
      <c r="O67" s="25"/>
      <c r="P67" s="25"/>
      <c r="Q67" s="24"/>
      <c r="AD67" s="25"/>
      <c r="AE67" s="25"/>
      <c r="AF67" s="25"/>
      <c r="AG67" s="24"/>
      <c r="AP67" s="83" t="s">
        <v>22</v>
      </c>
      <c r="AQ67" s="73"/>
      <c r="AR67" s="74"/>
      <c r="AS67" s="84">
        <v>90.3</v>
      </c>
      <c r="AT67" s="33"/>
      <c r="BC67" s="17"/>
      <c r="BD67" s="23"/>
      <c r="BE67" s="23"/>
      <c r="BF67" s="18"/>
    </row>
    <row r="68" spans="2:58" ht="12.6" customHeight="1">
      <c r="B68" s="235"/>
      <c r="C68"/>
      <c r="D68"/>
      <c r="E68"/>
      <c r="F68"/>
      <c r="G68"/>
      <c r="L68" s="25"/>
      <c r="M68" s="25"/>
      <c r="N68" s="25"/>
      <c r="O68" s="25"/>
      <c r="P68" s="25"/>
      <c r="Q68" s="24"/>
      <c r="AD68" s="25"/>
      <c r="AE68" s="25"/>
      <c r="AF68" s="25"/>
      <c r="AG68" s="24"/>
      <c r="AP68" s="85">
        <v>240.16985</v>
      </c>
      <c r="AQ68" s="86">
        <v>240.16985</v>
      </c>
      <c r="AR68" s="86">
        <v>240.16985</v>
      </c>
      <c r="AS68" s="87">
        <v>240.16985</v>
      </c>
      <c r="AT68" s="33"/>
      <c r="BC68" s="17"/>
      <c r="BD68" s="23"/>
      <c r="BE68" s="23"/>
      <c r="BF68" s="18"/>
    </row>
    <row r="69" spans="2:58" ht="12.6" customHeight="1">
      <c r="B69" s="235"/>
      <c r="L69" s="25"/>
      <c r="M69" s="25"/>
      <c r="N69" s="25"/>
      <c r="O69" s="25"/>
      <c r="P69" s="25"/>
      <c r="Q69" s="24"/>
      <c r="AD69" s="25"/>
      <c r="AE69" s="25"/>
      <c r="AF69" s="25"/>
      <c r="AG69" s="24"/>
      <c r="AP69" s="32"/>
      <c r="AQ69" s="32"/>
      <c r="AR69" s="32"/>
      <c r="AS69" s="32"/>
      <c r="AT69" s="33"/>
      <c r="BC69" s="168">
        <f>SUM(C61:BB61)</f>
        <v>3900.8854000000001</v>
      </c>
      <c r="BD69" s="195"/>
      <c r="BE69" s="195"/>
      <c r="BF69" s="196"/>
    </row>
    <row r="70" spans="2:58" ht="12.6" customHeight="1">
      <c r="B70" s="235"/>
      <c r="C70" s="240" t="s">
        <v>38</v>
      </c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  <c r="AA70" s="240"/>
      <c r="AB70" s="240"/>
      <c r="AC70" s="240"/>
      <c r="AD70" s="240"/>
      <c r="AE70" s="240"/>
      <c r="AF70" s="240"/>
      <c r="AG70" s="240"/>
      <c r="AH70" s="240"/>
      <c r="AI70" s="240"/>
      <c r="AJ70" s="240"/>
      <c r="AK70" s="240"/>
      <c r="AL70" s="240"/>
      <c r="AM70" s="240"/>
      <c r="AN70" s="240"/>
      <c r="AO70" s="240"/>
      <c r="AP70" s="240"/>
      <c r="AQ70" s="240"/>
      <c r="AR70" s="240"/>
      <c r="AS70" s="240"/>
      <c r="AT70" s="240"/>
      <c r="AU70" s="240"/>
      <c r="AV70" s="240"/>
      <c r="AW70" s="240"/>
      <c r="AX70" s="240"/>
      <c r="AY70" s="240"/>
      <c r="AZ70" s="240"/>
      <c r="BA70" s="240"/>
      <c r="BB70" s="240"/>
      <c r="BC70" s="205">
        <v>168.7</v>
      </c>
      <c r="BD70" s="206"/>
      <c r="BE70" s="206"/>
      <c r="BF70" s="207"/>
    </row>
    <row r="71" spans="2:58" ht="12.6" customHeight="1">
      <c r="B71" s="235"/>
      <c r="C71" s="240" t="s">
        <v>39</v>
      </c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  <c r="AI71" s="240"/>
      <c r="AJ71" s="240"/>
      <c r="AK71" s="240"/>
      <c r="AL71" s="240"/>
      <c r="AM71" s="240"/>
      <c r="AN71" s="240"/>
      <c r="AO71" s="240"/>
      <c r="AP71" s="240"/>
      <c r="AQ71" s="240"/>
      <c r="AR71" s="240"/>
      <c r="AS71" s="240"/>
      <c r="AT71" s="240"/>
      <c r="AU71" s="240"/>
      <c r="AV71" s="240"/>
      <c r="AW71" s="240"/>
      <c r="AX71" s="240"/>
      <c r="AY71" s="240"/>
      <c r="AZ71" s="240"/>
      <c r="BA71" s="240"/>
      <c r="BB71" s="240"/>
      <c r="BC71" s="205">
        <v>25.8</v>
      </c>
      <c r="BD71" s="206"/>
      <c r="BE71" s="206"/>
      <c r="BF71" s="207"/>
    </row>
    <row r="72" spans="2:58" ht="15" customHeight="1">
      <c r="B72" s="12"/>
      <c r="C72" s="26" t="s">
        <v>39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11"/>
      <c r="BC72" s="19">
        <v>0</v>
      </c>
      <c r="BD72" s="20"/>
      <c r="BE72" s="20"/>
      <c r="BF72" s="21"/>
    </row>
    <row r="73" spans="2:58" ht="12.6" customHeight="1">
      <c r="B73" s="241" t="s">
        <v>40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96"/>
      <c r="BD73" s="97"/>
      <c r="BE73" s="97"/>
      <c r="BF73" s="98"/>
    </row>
    <row r="74" spans="2:58" ht="12.6" customHeight="1">
      <c r="B74" s="242"/>
      <c r="C74" s="197" t="s">
        <v>41</v>
      </c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  <c r="AP74" s="198"/>
      <c r="AQ74" s="198"/>
      <c r="AR74" s="198"/>
      <c r="AS74" s="198"/>
      <c r="AT74" s="198"/>
      <c r="AU74" s="198"/>
      <c r="AV74" s="198"/>
      <c r="AW74" s="198"/>
      <c r="AX74" s="198"/>
      <c r="AY74" s="198"/>
      <c r="AZ74" s="198"/>
      <c r="BA74" s="198"/>
      <c r="BB74" s="198"/>
      <c r="BC74" s="202"/>
      <c r="BD74" s="203"/>
      <c r="BE74" s="203"/>
      <c r="BF74" s="204"/>
    </row>
    <row r="75" spans="2:58" ht="12.6" customHeight="1">
      <c r="B75" s="242"/>
      <c r="C75" s="197" t="s">
        <v>42</v>
      </c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205"/>
      <c r="BD75" s="206"/>
      <c r="BE75" s="206"/>
      <c r="BF75" s="207"/>
    </row>
    <row r="76" spans="2:58" ht="12.6" customHeight="1">
      <c r="B76" s="242"/>
      <c r="C76" s="199" t="s">
        <v>43</v>
      </c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0"/>
      <c r="AV76" s="200"/>
      <c r="AW76" s="200"/>
      <c r="AX76" s="200"/>
      <c r="AY76" s="200"/>
      <c r="AZ76" s="200"/>
      <c r="BA76" s="200"/>
      <c r="BB76" s="201"/>
      <c r="BC76" s="236">
        <v>6420</v>
      </c>
      <c r="BD76" s="237"/>
      <c r="BE76" s="237"/>
      <c r="BF76" s="238"/>
    </row>
    <row r="77" spans="2:58" ht="15.6">
      <c r="B77" s="12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11"/>
      <c r="BC77" s="19"/>
      <c r="BD77" s="20"/>
      <c r="BE77" s="20"/>
      <c r="BF77" s="21"/>
    </row>
    <row r="78" spans="2:58" ht="15" customHeight="1">
      <c r="B78" s="15" t="s">
        <v>44</v>
      </c>
      <c r="C78" s="16"/>
      <c r="D78" s="1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68">
        <f>SUM(BC23,BC45,BC57,BC69,BC70,BC71,BC76)</f>
        <v>18747.05459525</v>
      </c>
      <c r="BD78" s="195"/>
      <c r="BE78" s="195"/>
      <c r="BF78" s="196"/>
    </row>
    <row r="79" spans="2:58" ht="12" customHeight="1">
      <c r="B79" s="125" t="s">
        <v>45</v>
      </c>
    </row>
  </sheetData>
  <mergeCells count="102">
    <mergeCell ref="BC45:BF45"/>
    <mergeCell ref="AT33:AU33"/>
    <mergeCell ref="AT29:AU29"/>
    <mergeCell ref="AT30:AU30"/>
    <mergeCell ref="AT31:AU31"/>
    <mergeCell ref="AT32:AU32"/>
    <mergeCell ref="O8:R8"/>
    <mergeCell ref="O7:R7"/>
    <mergeCell ref="C17:G17"/>
    <mergeCell ref="C18:G18"/>
    <mergeCell ref="AT28:AU28"/>
    <mergeCell ref="AT27:AV27"/>
    <mergeCell ref="AE28:AF28"/>
    <mergeCell ref="B59:B71"/>
    <mergeCell ref="BC76:BF76"/>
    <mergeCell ref="AP61:AS61"/>
    <mergeCell ref="C70:BB70"/>
    <mergeCell ref="BC70:BF70"/>
    <mergeCell ref="BC69:BF69"/>
    <mergeCell ref="C71:BB71"/>
    <mergeCell ref="BC71:BF71"/>
    <mergeCell ref="B73:B76"/>
    <mergeCell ref="S60:V60"/>
    <mergeCell ref="S61:V61"/>
    <mergeCell ref="AP60:AS60"/>
    <mergeCell ref="I60:K60"/>
    <mergeCell ref="I61:K61"/>
    <mergeCell ref="AU51:AV51"/>
    <mergeCell ref="AU52:AV52"/>
    <mergeCell ref="AU53:AV53"/>
    <mergeCell ref="G36:J36"/>
    <mergeCell ref="B47:B57"/>
    <mergeCell ref="U48:Y48"/>
    <mergeCell ref="U49:Y49"/>
    <mergeCell ref="B25:B45"/>
    <mergeCell ref="L26:N26"/>
    <mergeCell ref="AF42:AH42"/>
    <mergeCell ref="AF43:AH43"/>
    <mergeCell ref="AE29:AF29"/>
    <mergeCell ref="AF39:AH39"/>
    <mergeCell ref="G37:J37"/>
    <mergeCell ref="AF37:AI37"/>
    <mergeCell ref="AE30:AF30"/>
    <mergeCell ref="AE31:AF31"/>
    <mergeCell ref="L27:N27"/>
    <mergeCell ref="AF36:AI36"/>
    <mergeCell ref="AF38:AH38"/>
    <mergeCell ref="AF41:AH41"/>
    <mergeCell ref="AE27:AG27"/>
    <mergeCell ref="BC78:BF78"/>
    <mergeCell ref="C75:BB75"/>
    <mergeCell ref="C74:BB74"/>
    <mergeCell ref="C76:BB76"/>
    <mergeCell ref="BC74:BF74"/>
    <mergeCell ref="BC75:BF75"/>
    <mergeCell ref="C60:G60"/>
    <mergeCell ref="C61:G61"/>
    <mergeCell ref="AU48:AW48"/>
    <mergeCell ref="AU49:AW49"/>
    <mergeCell ref="AL60:AO60"/>
    <mergeCell ref="AL61:AO61"/>
    <mergeCell ref="AJ54:AK54"/>
    <mergeCell ref="AJ55:AK55"/>
    <mergeCell ref="AU55:AV55"/>
    <mergeCell ref="AU54:AV54"/>
    <mergeCell ref="AJ48:AL48"/>
    <mergeCell ref="AJ49:AL49"/>
    <mergeCell ref="AJ50:AK50"/>
    <mergeCell ref="AJ51:AK51"/>
    <mergeCell ref="AJ52:AK52"/>
    <mergeCell ref="AJ53:AK53"/>
    <mergeCell ref="BC57:BF57"/>
    <mergeCell ref="AU50:AV50"/>
    <mergeCell ref="B3:B4"/>
    <mergeCell ref="C3:F3"/>
    <mergeCell ref="G3:J3"/>
    <mergeCell ref="P3:S3"/>
    <mergeCell ref="T3:W3"/>
    <mergeCell ref="K3:O3"/>
    <mergeCell ref="AG3:AK3"/>
    <mergeCell ref="AT3:AX3"/>
    <mergeCell ref="AE26:AG26"/>
    <mergeCell ref="AT26:AV26"/>
    <mergeCell ref="B6:B23"/>
    <mergeCell ref="AX7:AZ7"/>
    <mergeCell ref="AX8:AZ8"/>
    <mergeCell ref="X17:AA17"/>
    <mergeCell ref="X18:AA18"/>
    <mergeCell ref="AO17:AR17"/>
    <mergeCell ref="AO18:AR18"/>
    <mergeCell ref="Y7:AD7"/>
    <mergeCell ref="Y8:AD8"/>
    <mergeCell ref="AL3:AO3"/>
    <mergeCell ref="BC5:BF5"/>
    <mergeCell ref="AY3:BB3"/>
    <mergeCell ref="AC3:AF3"/>
    <mergeCell ref="AP3:AS3"/>
    <mergeCell ref="X3:AB3"/>
    <mergeCell ref="AE32:AF32"/>
    <mergeCell ref="AE33:AF33"/>
    <mergeCell ref="AF40:AH40"/>
    <mergeCell ref="BC23:BF23"/>
  </mergeCells>
  <pageMargins left="0.7" right="0.7" top="0.75" bottom="0.75" header="0.3" footer="0.3"/>
  <pageSetup paperSize="3" orientation="landscape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FADB-14DE-4D6D-AF13-1EC528DB4515}">
  <dimension ref="B1:CH86"/>
  <sheetViews>
    <sheetView showGridLines="0" zoomScale="90" zoomScaleNormal="90" workbookViewId="0">
      <pane ySplit="4" topLeftCell="A5" activePane="bottomLeft" state="frozen"/>
      <selection pane="bottomLeft" activeCell="B3" sqref="B3:B4"/>
    </sheetView>
  </sheetViews>
  <sheetFormatPr defaultColWidth="8.5703125" defaultRowHeight="12" customHeight="1"/>
  <cols>
    <col min="1" max="1" width="2.42578125" style="1" customWidth="1"/>
    <col min="2" max="2" width="23.42578125" style="1" customWidth="1"/>
    <col min="3" max="3" width="6.42578125" style="1" customWidth="1"/>
    <col min="4" max="34" width="7.42578125" style="1" customWidth="1"/>
    <col min="35" max="35" width="7.5703125" style="1" customWidth="1"/>
    <col min="36" max="55" width="7.42578125" style="1" customWidth="1"/>
    <col min="56" max="86" width="2.5703125" style="1" customWidth="1"/>
    <col min="87" max="16384" width="8.5703125" style="1"/>
  </cols>
  <sheetData>
    <row r="1" spans="2:86" ht="19.5">
      <c r="B1" s="22" t="s">
        <v>46</v>
      </c>
      <c r="C1" s="22"/>
    </row>
    <row r="2" spans="2:86" ht="12.95" thickBot="1">
      <c r="B2" s="1" t="str">
        <f>+GCM!B2</f>
        <v>Revision 1  (as of 11.12.2025)</v>
      </c>
    </row>
    <row r="3" spans="2:86" ht="14.85" customHeight="1">
      <c r="B3" s="170" t="str">
        <f>+GCM!B3</f>
        <v>2026 US Media Mix Calendar</v>
      </c>
      <c r="C3" s="108" t="s">
        <v>47</v>
      </c>
      <c r="D3" s="167" t="s">
        <v>3</v>
      </c>
      <c r="E3" s="164"/>
      <c r="F3" s="164"/>
      <c r="G3" s="164"/>
      <c r="H3" s="164" t="s">
        <v>4</v>
      </c>
      <c r="I3" s="164"/>
      <c r="J3" s="164"/>
      <c r="K3" s="164"/>
      <c r="L3" s="165" t="s">
        <v>5</v>
      </c>
      <c r="M3" s="166"/>
      <c r="N3" s="166"/>
      <c r="O3" s="166"/>
      <c r="P3" s="167"/>
      <c r="Q3" s="164" t="s">
        <v>6</v>
      </c>
      <c r="R3" s="164"/>
      <c r="S3" s="164"/>
      <c r="T3" s="164"/>
      <c r="U3" s="164" t="s">
        <v>7</v>
      </c>
      <c r="V3" s="164"/>
      <c r="W3" s="164"/>
      <c r="X3" s="164"/>
      <c r="Y3" s="165" t="s">
        <v>8</v>
      </c>
      <c r="Z3" s="166"/>
      <c r="AA3" s="166"/>
      <c r="AB3" s="166"/>
      <c r="AC3" s="167"/>
      <c r="AD3" s="164" t="s">
        <v>9</v>
      </c>
      <c r="AE3" s="164"/>
      <c r="AF3" s="164"/>
      <c r="AG3" s="164"/>
      <c r="AH3" s="165" t="s">
        <v>10</v>
      </c>
      <c r="AI3" s="166"/>
      <c r="AJ3" s="166"/>
      <c r="AK3" s="166"/>
      <c r="AL3" s="167"/>
      <c r="AM3" s="165" t="s">
        <v>11</v>
      </c>
      <c r="AN3" s="166"/>
      <c r="AO3" s="166"/>
      <c r="AP3" s="167"/>
      <c r="AQ3" s="164" t="s">
        <v>12</v>
      </c>
      <c r="AR3" s="164"/>
      <c r="AS3" s="164"/>
      <c r="AT3" s="164"/>
      <c r="AU3" s="165" t="s">
        <v>13</v>
      </c>
      <c r="AV3" s="166"/>
      <c r="AW3" s="166"/>
      <c r="AX3" s="166"/>
      <c r="AY3" s="167"/>
      <c r="AZ3" s="164" t="s">
        <v>14</v>
      </c>
      <c r="BA3" s="164"/>
      <c r="BB3" s="164"/>
      <c r="BC3" s="164"/>
      <c r="BD3" s="4"/>
      <c r="BE3" s="5"/>
      <c r="BF3" s="5"/>
      <c r="BG3" s="6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2:86" ht="15" customHeight="1" thickBot="1">
      <c r="B4" s="171"/>
      <c r="C4" s="30">
        <v>29</v>
      </c>
      <c r="D4" s="30">
        <v>5</v>
      </c>
      <c r="E4" s="10">
        <v>12</v>
      </c>
      <c r="F4" s="10">
        <v>19</v>
      </c>
      <c r="G4" s="10">
        <v>26</v>
      </c>
      <c r="H4" s="10">
        <v>2</v>
      </c>
      <c r="I4" s="10">
        <v>9</v>
      </c>
      <c r="J4" s="10">
        <v>16</v>
      </c>
      <c r="K4" s="10">
        <v>23</v>
      </c>
      <c r="L4" s="10">
        <v>2</v>
      </c>
      <c r="M4" s="10">
        <v>9</v>
      </c>
      <c r="N4" s="10">
        <v>16</v>
      </c>
      <c r="O4" s="10">
        <v>23</v>
      </c>
      <c r="P4" s="10">
        <v>30</v>
      </c>
      <c r="Q4" s="10">
        <v>6</v>
      </c>
      <c r="R4" s="10">
        <v>13</v>
      </c>
      <c r="S4" s="10">
        <v>20</v>
      </c>
      <c r="T4" s="10">
        <v>27</v>
      </c>
      <c r="U4" s="10">
        <v>4</v>
      </c>
      <c r="V4" s="10">
        <v>11</v>
      </c>
      <c r="W4" s="10">
        <v>18</v>
      </c>
      <c r="X4" s="10">
        <v>25</v>
      </c>
      <c r="Y4" s="10">
        <v>1</v>
      </c>
      <c r="Z4" s="10">
        <v>8</v>
      </c>
      <c r="AA4" s="10">
        <v>15</v>
      </c>
      <c r="AB4" s="10">
        <v>22</v>
      </c>
      <c r="AC4" s="10">
        <v>29</v>
      </c>
      <c r="AD4" s="10">
        <v>6</v>
      </c>
      <c r="AE4" s="10">
        <v>13</v>
      </c>
      <c r="AF4" s="10">
        <v>20</v>
      </c>
      <c r="AG4" s="10">
        <v>27</v>
      </c>
      <c r="AH4" s="10">
        <v>3</v>
      </c>
      <c r="AI4" s="10">
        <v>10</v>
      </c>
      <c r="AJ4" s="10">
        <v>17</v>
      </c>
      <c r="AK4" s="10">
        <v>24</v>
      </c>
      <c r="AL4" s="10">
        <v>31</v>
      </c>
      <c r="AM4" s="10">
        <v>7</v>
      </c>
      <c r="AN4" s="10">
        <v>14</v>
      </c>
      <c r="AO4" s="10">
        <v>21</v>
      </c>
      <c r="AP4" s="10">
        <v>28</v>
      </c>
      <c r="AQ4" s="10">
        <v>5</v>
      </c>
      <c r="AR4" s="10">
        <v>12</v>
      </c>
      <c r="AS4" s="10">
        <v>19</v>
      </c>
      <c r="AT4" s="10">
        <v>26</v>
      </c>
      <c r="AU4" s="10">
        <v>2</v>
      </c>
      <c r="AV4" s="10">
        <v>9</v>
      </c>
      <c r="AW4" s="10">
        <v>16</v>
      </c>
      <c r="AX4" s="10">
        <v>23</v>
      </c>
      <c r="AY4" s="10">
        <v>30</v>
      </c>
      <c r="AZ4" s="10">
        <v>7</v>
      </c>
      <c r="BA4" s="10">
        <v>14</v>
      </c>
      <c r="BB4" s="10">
        <v>21</v>
      </c>
      <c r="BC4" s="10">
        <v>28</v>
      </c>
      <c r="BD4" s="7"/>
      <c r="BE4" s="8"/>
      <c r="BF4" s="8"/>
      <c r="BG4" s="9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2:86" ht="11.45" customHeight="1" thickBot="1">
      <c r="B5" s="31"/>
      <c r="C5" s="109"/>
      <c r="D5" s="26"/>
      <c r="E5" s="26"/>
      <c r="F5" s="26"/>
      <c r="G5" s="26"/>
      <c r="H5" s="27"/>
      <c r="I5" s="28"/>
      <c r="J5" s="28"/>
      <c r="K5" s="28"/>
      <c r="L5" s="29"/>
      <c r="M5" s="26"/>
      <c r="N5" s="26"/>
      <c r="O5" s="26"/>
      <c r="P5" s="26"/>
      <c r="Q5" s="26"/>
      <c r="R5" s="26"/>
      <c r="S5" s="27"/>
      <c r="T5" s="28"/>
      <c r="U5" s="28"/>
      <c r="V5" s="28"/>
      <c r="W5" s="29"/>
      <c r="X5" s="26"/>
      <c r="Y5" s="26"/>
      <c r="Z5" s="27"/>
      <c r="AA5" s="28"/>
      <c r="AB5" s="28"/>
      <c r="AC5" s="28"/>
      <c r="AD5" s="29"/>
      <c r="AE5" s="26"/>
      <c r="AF5" s="26"/>
      <c r="AG5" s="26"/>
      <c r="AH5" s="26"/>
      <c r="AI5" s="27"/>
      <c r="AJ5" s="28"/>
      <c r="AK5" s="28"/>
      <c r="AL5" s="28"/>
      <c r="AM5" s="27"/>
      <c r="AN5" s="28"/>
      <c r="AO5" s="28"/>
      <c r="AP5" s="28"/>
      <c r="AQ5" s="28"/>
      <c r="AR5" s="29"/>
      <c r="AS5" s="26"/>
      <c r="AT5" s="26"/>
      <c r="AU5" s="26"/>
      <c r="AV5" s="26"/>
      <c r="AW5" s="26"/>
      <c r="AX5" s="26"/>
      <c r="AY5" s="26"/>
      <c r="AZ5" s="26"/>
      <c r="BA5" s="27"/>
      <c r="BB5" s="28"/>
      <c r="BC5" s="29"/>
      <c r="BD5" s="161"/>
      <c r="BE5" s="162"/>
      <c r="BF5" s="162"/>
      <c r="BG5" s="163"/>
    </row>
    <row r="6" spans="2:86" ht="14.1" customHeight="1">
      <c r="B6" s="174" t="s">
        <v>15</v>
      </c>
      <c r="C6" s="14"/>
      <c r="D6" s="14"/>
      <c r="E6" s="14"/>
      <c r="F6" s="14"/>
      <c r="G6" s="14"/>
      <c r="H6" s="112"/>
      <c r="I6" s="34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14"/>
      <c r="AA6" s="14"/>
      <c r="AB6" s="14"/>
      <c r="AC6" s="14"/>
      <c r="AD6" s="14"/>
      <c r="AE6" s="14"/>
      <c r="AF6" s="35"/>
      <c r="AG6" s="35"/>
      <c r="AH6" s="35"/>
      <c r="AI6" s="34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64"/>
      <c r="BD6" s="150"/>
      <c r="BE6" s="150"/>
      <c r="BF6" s="150"/>
      <c r="BG6" s="151"/>
    </row>
    <row r="7" spans="2:86" ht="14.1" customHeight="1">
      <c r="B7" s="175"/>
      <c r="L7" s="48"/>
      <c r="M7" s="65"/>
      <c r="N7" s="65"/>
      <c r="O7" s="65"/>
      <c r="P7" s="189" t="s">
        <v>16</v>
      </c>
      <c r="Q7" s="190"/>
      <c r="R7" s="190"/>
      <c r="S7" s="191"/>
      <c r="T7" s="65"/>
      <c r="U7" s="65"/>
      <c r="V7" s="65"/>
      <c r="W7" s="65"/>
      <c r="X7" s="65"/>
      <c r="Y7" s="65"/>
      <c r="Z7" s="189" t="s">
        <v>16</v>
      </c>
      <c r="AA7" s="190"/>
      <c r="AB7" s="190"/>
      <c r="AC7" s="190"/>
      <c r="AD7" s="190"/>
      <c r="AE7" s="191"/>
      <c r="AF7" s="48"/>
      <c r="AG7" s="48"/>
      <c r="AH7" s="48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Y7" s="177" t="s">
        <v>16</v>
      </c>
      <c r="AZ7" s="178"/>
      <c r="BA7" s="179"/>
      <c r="BC7" s="66"/>
      <c r="BD7" s="150"/>
      <c r="BE7" s="150"/>
      <c r="BF7" s="150"/>
      <c r="BG7" s="151"/>
    </row>
    <row r="8" spans="2:86" ht="14.1" customHeight="1">
      <c r="B8" s="175"/>
      <c r="L8" s="42"/>
      <c r="M8" s="67"/>
      <c r="N8" s="67"/>
      <c r="O8" s="67"/>
      <c r="P8" s="250">
        <f>SUM(S9:S14)</f>
        <v>1479.62175733</v>
      </c>
      <c r="Q8" s="251"/>
      <c r="R8" s="251"/>
      <c r="S8" s="252"/>
      <c r="T8" s="67"/>
      <c r="U8" s="67"/>
      <c r="V8" s="67"/>
      <c r="W8" s="67"/>
      <c r="X8" s="67"/>
      <c r="Y8" s="67"/>
      <c r="Z8" s="192">
        <f>SUM(AE9:AE15)</f>
        <v>2730.9359714999996</v>
      </c>
      <c r="AA8" s="193"/>
      <c r="AB8" s="193"/>
      <c r="AC8" s="193"/>
      <c r="AD8" s="193"/>
      <c r="AE8" s="194"/>
      <c r="AF8" s="45"/>
      <c r="AG8" s="45"/>
      <c r="AH8" s="45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Y8" s="180">
        <f>SUM(BA9:BA14)</f>
        <v>893.09661200000005</v>
      </c>
      <c r="AZ8" s="181"/>
      <c r="BA8" s="182"/>
      <c r="BC8" s="68"/>
      <c r="BD8" s="150"/>
      <c r="BE8" s="150"/>
      <c r="BF8" s="150"/>
      <c r="BG8" s="151"/>
    </row>
    <row r="9" spans="2:86" ht="14.1" customHeight="1">
      <c r="B9" s="175"/>
      <c r="L9" s="67"/>
      <c r="M9" s="67"/>
      <c r="N9" s="67"/>
      <c r="O9" s="67"/>
      <c r="P9" s="152" t="s">
        <v>17</v>
      </c>
      <c r="Q9" s="50"/>
      <c r="R9" s="153"/>
      <c r="S9" s="56">
        <v>28.034224999999999</v>
      </c>
      <c r="T9" s="67"/>
      <c r="U9" s="67"/>
      <c r="V9" s="67"/>
      <c r="W9" s="67"/>
      <c r="X9" s="67"/>
      <c r="Y9" s="67"/>
      <c r="Z9" s="60" t="s">
        <v>17</v>
      </c>
      <c r="AA9" s="54"/>
      <c r="AB9" s="54"/>
      <c r="AC9" s="54"/>
      <c r="AD9" s="55"/>
      <c r="AE9" s="56">
        <v>91.2</v>
      </c>
      <c r="AF9" s="67"/>
      <c r="AG9" s="67"/>
      <c r="AH9" s="67"/>
      <c r="AI9" s="65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152" t="s">
        <v>17</v>
      </c>
      <c r="AZ9" s="50"/>
      <c r="BA9" s="56">
        <v>27.3</v>
      </c>
      <c r="BC9" s="69"/>
      <c r="BD9" s="150"/>
      <c r="BE9" s="150"/>
      <c r="BF9" s="150"/>
      <c r="BG9" s="151"/>
    </row>
    <row r="10" spans="2:86" ht="14.1" customHeight="1">
      <c r="B10" s="175"/>
      <c r="L10" s="67"/>
      <c r="M10" s="67"/>
      <c r="N10" s="67"/>
      <c r="O10" s="67"/>
      <c r="P10" s="152" t="s">
        <v>18</v>
      </c>
      <c r="Q10" s="50"/>
      <c r="R10" s="153"/>
      <c r="S10" s="56">
        <v>495.58047520000002</v>
      </c>
      <c r="T10" s="67"/>
      <c r="U10" s="67"/>
      <c r="V10" s="67"/>
      <c r="W10" s="67"/>
      <c r="X10" s="67"/>
      <c r="Y10" s="67"/>
      <c r="Z10" s="152" t="s">
        <v>18</v>
      </c>
      <c r="AA10" s="50"/>
      <c r="AB10" s="50"/>
      <c r="AC10" s="50"/>
      <c r="AD10" s="153"/>
      <c r="AE10" s="56">
        <v>235.17530550000001</v>
      </c>
      <c r="AF10" s="67"/>
      <c r="AG10" s="67"/>
      <c r="AH10" s="67"/>
      <c r="AI10" s="65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152" t="s">
        <v>18</v>
      </c>
      <c r="AZ10" s="50"/>
      <c r="BA10" s="56">
        <v>113.09661199999999</v>
      </c>
      <c r="BC10" s="69"/>
      <c r="BD10" s="150"/>
      <c r="BE10" s="150"/>
      <c r="BF10" s="150"/>
      <c r="BG10" s="151"/>
    </row>
    <row r="11" spans="2:86" s="13" customFormat="1" ht="14.1" customHeight="1">
      <c r="B11" s="175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52" t="s">
        <v>19</v>
      </c>
      <c r="Q11" s="50"/>
      <c r="R11" s="153"/>
      <c r="S11" s="56">
        <v>92.154868530000002</v>
      </c>
      <c r="T11" s="113"/>
      <c r="U11" s="113"/>
      <c r="V11" s="113"/>
      <c r="W11" s="113"/>
      <c r="X11" s="113"/>
      <c r="Y11" s="67"/>
      <c r="Z11" s="152" t="s">
        <v>19</v>
      </c>
      <c r="AA11" s="50"/>
      <c r="AB11" s="50"/>
      <c r="AC11" s="50"/>
      <c r="AD11" s="153"/>
      <c r="AE11" s="56">
        <v>301.86207280000002</v>
      </c>
      <c r="AF11" s="113"/>
      <c r="AG11" s="113"/>
      <c r="AH11" s="113"/>
      <c r="AI11" s="114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52" t="s">
        <v>19</v>
      </c>
      <c r="AZ11" s="50"/>
      <c r="BA11" s="56">
        <v>70.2</v>
      </c>
      <c r="BB11" s="113"/>
      <c r="BC11" s="115"/>
      <c r="BD11" s="150"/>
      <c r="BE11" s="150"/>
      <c r="BF11" s="150"/>
      <c r="BG11" s="151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</row>
    <row r="12" spans="2:86" ht="14.1" customHeight="1">
      <c r="B12" s="175"/>
      <c r="P12" s="152" t="s">
        <v>20</v>
      </c>
      <c r="Q12" s="50"/>
      <c r="R12" s="153"/>
      <c r="S12" s="56">
        <v>262.45241879999998</v>
      </c>
      <c r="Z12" s="152" t="s">
        <v>20</v>
      </c>
      <c r="AA12" s="50"/>
      <c r="AB12" s="50"/>
      <c r="AC12" s="50"/>
      <c r="AD12" s="153"/>
      <c r="AE12" s="56">
        <v>454.00211619999999</v>
      </c>
      <c r="AI12" s="49"/>
      <c r="AY12" s="152" t="s">
        <v>20</v>
      </c>
      <c r="AZ12" s="50"/>
      <c r="BA12" s="56">
        <v>202.8</v>
      </c>
      <c r="BC12" s="70"/>
      <c r="BD12" s="150"/>
      <c r="BE12" s="150"/>
      <c r="BF12" s="150"/>
      <c r="BG12" s="151"/>
    </row>
    <row r="13" spans="2:86" ht="14.1" customHeight="1">
      <c r="B13" s="175"/>
      <c r="P13" s="152" t="s">
        <v>21</v>
      </c>
      <c r="Q13" s="50"/>
      <c r="R13" s="153"/>
      <c r="S13" s="56">
        <v>449.95897989999997</v>
      </c>
      <c r="Y13" s="113"/>
      <c r="Z13" s="152" t="s">
        <v>48</v>
      </c>
      <c r="AA13" s="50"/>
      <c r="AB13" s="50"/>
      <c r="AC13" s="50"/>
      <c r="AD13" s="153"/>
      <c r="AE13" s="56">
        <v>159.60000099999999</v>
      </c>
      <c r="AH13" s="113"/>
      <c r="AI13" s="49"/>
      <c r="AP13" s="113"/>
      <c r="AQ13" s="113"/>
      <c r="AR13" s="113"/>
      <c r="AS13" s="113"/>
      <c r="AY13" s="152" t="s">
        <v>21</v>
      </c>
      <c r="AZ13" s="50"/>
      <c r="BA13" s="56">
        <v>362.7</v>
      </c>
      <c r="BC13" s="70"/>
      <c r="BD13" s="150"/>
      <c r="BE13" s="150"/>
      <c r="BF13" s="150"/>
      <c r="BG13" s="151"/>
    </row>
    <row r="14" spans="2:86" ht="14.1" customHeight="1">
      <c r="B14" s="175"/>
      <c r="P14" s="152" t="s">
        <v>22</v>
      </c>
      <c r="Q14" s="50"/>
      <c r="R14" s="153"/>
      <c r="S14" s="56">
        <v>151.4407899</v>
      </c>
      <c r="Y14" s="113"/>
      <c r="Z14" s="152" t="s">
        <v>21</v>
      </c>
      <c r="AA14" s="50"/>
      <c r="AB14" s="50"/>
      <c r="AC14" s="50"/>
      <c r="AD14" s="153"/>
      <c r="AE14" s="56">
        <v>1071.5999999999999</v>
      </c>
      <c r="AH14" s="113"/>
      <c r="AI14" s="49"/>
      <c r="AP14" s="113"/>
      <c r="AQ14" s="113"/>
      <c r="AR14" s="113"/>
      <c r="AS14" s="113"/>
      <c r="AY14" s="152" t="s">
        <v>22</v>
      </c>
      <c r="AZ14" s="50"/>
      <c r="BA14" s="56">
        <v>117</v>
      </c>
      <c r="BC14" s="70"/>
      <c r="BD14" s="150"/>
      <c r="BE14" s="150"/>
      <c r="BF14" s="150"/>
      <c r="BG14" s="151"/>
    </row>
    <row r="15" spans="2:86" ht="14.1" customHeight="1">
      <c r="B15" s="175"/>
      <c r="P15" s="57">
        <v>328.80483500000003</v>
      </c>
      <c r="Q15" s="58">
        <v>383.6056408</v>
      </c>
      <c r="R15" s="58">
        <v>383.6056408</v>
      </c>
      <c r="S15" s="59">
        <v>383.6056408</v>
      </c>
      <c r="Y15" s="113"/>
      <c r="Z15" s="152" t="s">
        <v>22</v>
      </c>
      <c r="AA15" s="50"/>
      <c r="AB15" s="50"/>
      <c r="AC15" s="50"/>
      <c r="AD15" s="153"/>
      <c r="AE15" s="56">
        <v>417.49647599999997</v>
      </c>
      <c r="AH15" s="113"/>
      <c r="AI15" s="49"/>
      <c r="AP15" s="113"/>
      <c r="AQ15" s="113"/>
      <c r="AR15" s="113"/>
      <c r="AS15" s="113"/>
      <c r="AY15" s="57">
        <v>267.92898359999998</v>
      </c>
      <c r="AZ15" s="58">
        <v>312.58381420000001</v>
      </c>
      <c r="BA15" s="59">
        <v>312.58381420000001</v>
      </c>
      <c r="BC15" s="70"/>
      <c r="BD15" s="150"/>
      <c r="BE15" s="150"/>
      <c r="BF15" s="150"/>
      <c r="BG15" s="151"/>
    </row>
    <row r="16" spans="2:86" ht="14.1" customHeight="1" thickBot="1">
      <c r="B16" s="175"/>
      <c r="H16" s="71"/>
      <c r="I16" s="71"/>
      <c r="J16" s="71"/>
      <c r="K16" s="71"/>
      <c r="Y16" s="113"/>
      <c r="Z16" s="61">
        <v>406.10335129999999</v>
      </c>
      <c r="AA16" s="62">
        <v>473.78724319999998</v>
      </c>
      <c r="AB16" s="62">
        <v>473.78724319999998</v>
      </c>
      <c r="AC16" s="62">
        <v>459.08604459999998</v>
      </c>
      <c r="AD16" s="62">
        <v>459.08604459999998</v>
      </c>
      <c r="AE16" s="63">
        <v>459.08604459999998</v>
      </c>
      <c r="AH16" s="113"/>
      <c r="AI16" s="49"/>
      <c r="AP16" s="113"/>
      <c r="AQ16" s="113"/>
      <c r="AR16" s="113"/>
      <c r="AS16" s="113"/>
      <c r="AY16" s="71"/>
      <c r="AZ16" s="71"/>
      <c r="BA16" s="71"/>
      <c r="BC16" s="70"/>
      <c r="BD16" s="150"/>
      <c r="BE16" s="150"/>
      <c r="BF16" s="150"/>
      <c r="BG16" s="151"/>
    </row>
    <row r="17" spans="2:59" ht="14.1" customHeight="1" thickBot="1">
      <c r="B17" s="175"/>
      <c r="H17" s="71"/>
      <c r="I17" s="71"/>
      <c r="J17" s="71"/>
      <c r="K17" s="71"/>
      <c r="Y17" s="113"/>
      <c r="Z17" s="71"/>
      <c r="AA17" s="71"/>
      <c r="AB17" s="71"/>
      <c r="AC17" s="71"/>
      <c r="AD17" s="71"/>
      <c r="AE17" s="71"/>
      <c r="AH17" s="113"/>
      <c r="AI17" s="49"/>
      <c r="AP17" s="113"/>
      <c r="AQ17" s="113"/>
      <c r="AR17" s="113"/>
      <c r="AS17" s="113"/>
      <c r="AY17" s="71"/>
      <c r="AZ17" s="71"/>
      <c r="BA17" s="71"/>
      <c r="BC17" s="70"/>
      <c r="BD17" s="150"/>
      <c r="BE17" s="150"/>
      <c r="BF17" s="150"/>
      <c r="BG17" s="151"/>
    </row>
    <row r="18" spans="2:59" ht="14.1" customHeight="1">
      <c r="B18" s="175"/>
      <c r="C18" s="256" t="s">
        <v>49</v>
      </c>
      <c r="D18" s="256"/>
      <c r="E18" s="256"/>
      <c r="F18" s="256"/>
      <c r="G18" s="256"/>
      <c r="H18" s="256"/>
      <c r="I18" s="256"/>
      <c r="J18" s="257"/>
      <c r="K18" s="71"/>
      <c r="Y18" s="113"/>
      <c r="Z18" s="71"/>
      <c r="AA18" s="71"/>
      <c r="AB18" s="71"/>
      <c r="AC18" s="71"/>
      <c r="AD18" s="71"/>
      <c r="AE18" s="71"/>
      <c r="AH18" s="113"/>
      <c r="AI18" s="49"/>
      <c r="AP18" s="113"/>
      <c r="AQ18" s="113"/>
      <c r="AR18" s="113"/>
      <c r="AS18" s="113"/>
      <c r="AT18" s="266" t="s">
        <v>49</v>
      </c>
      <c r="AU18" s="256"/>
      <c r="AV18" s="256"/>
      <c r="AW18" s="256"/>
      <c r="AX18" s="256"/>
      <c r="AY18" s="256"/>
      <c r="AZ18" s="256"/>
      <c r="BA18" s="256"/>
      <c r="BB18" s="257"/>
      <c r="BC18" s="70"/>
      <c r="BD18" s="150"/>
      <c r="BE18" s="150"/>
      <c r="BF18" s="150"/>
      <c r="BG18" s="151"/>
    </row>
    <row r="19" spans="2:59" ht="14.1" customHeight="1">
      <c r="B19" s="175"/>
      <c r="C19" s="268">
        <f>SUM(J20:J27)</f>
        <v>644.76870459999986</v>
      </c>
      <c r="D19" s="268"/>
      <c r="E19" s="268"/>
      <c r="F19" s="268"/>
      <c r="G19" s="268"/>
      <c r="H19" s="268"/>
      <c r="I19" s="268"/>
      <c r="J19" s="269"/>
      <c r="K19" s="71"/>
      <c r="Y19" s="113"/>
      <c r="Z19" s="71"/>
      <c r="AA19" s="71"/>
      <c r="AB19" s="71"/>
      <c r="AC19" s="71"/>
      <c r="AD19" s="71"/>
      <c r="AE19" s="71"/>
      <c r="AH19" s="113"/>
      <c r="AI19" s="49"/>
      <c r="AP19" s="113"/>
      <c r="AQ19" s="113"/>
      <c r="AR19" s="113"/>
      <c r="AS19" s="113"/>
      <c r="AT19" s="267">
        <f>SUM(BB20:BB27)</f>
        <v>874.52122047</v>
      </c>
      <c r="AU19" s="268"/>
      <c r="AV19" s="268"/>
      <c r="AW19" s="268"/>
      <c r="AX19" s="268"/>
      <c r="AY19" s="268"/>
      <c r="AZ19" s="268"/>
      <c r="BA19" s="268"/>
      <c r="BB19" s="269"/>
      <c r="BC19" s="70"/>
      <c r="BD19" s="150"/>
      <c r="BE19" s="150"/>
      <c r="BF19" s="150"/>
      <c r="BG19" s="151"/>
    </row>
    <row r="20" spans="2:59" ht="14.1" customHeight="1">
      <c r="B20" s="175"/>
      <c r="C20" s="105" t="s">
        <v>37</v>
      </c>
      <c r="D20" s="105"/>
      <c r="E20" s="105"/>
      <c r="F20" s="105"/>
      <c r="G20" s="105"/>
      <c r="H20" s="105"/>
      <c r="I20" s="105"/>
      <c r="J20" s="99">
        <v>14.478361700000001</v>
      </c>
      <c r="K20" s="71"/>
      <c r="Y20" s="113"/>
      <c r="Z20" s="71"/>
      <c r="AA20" s="71"/>
      <c r="AB20" s="71"/>
      <c r="AC20" s="71"/>
      <c r="AD20" s="71"/>
      <c r="AE20" s="71"/>
      <c r="AH20" s="113"/>
      <c r="AI20" s="49"/>
      <c r="AP20" s="113"/>
      <c r="AQ20" s="113"/>
      <c r="AR20" s="113"/>
      <c r="AS20" s="113"/>
      <c r="AT20" s="139" t="s">
        <v>37</v>
      </c>
      <c r="AU20" s="105"/>
      <c r="AV20" s="105"/>
      <c r="AW20" s="105"/>
      <c r="AX20" s="105"/>
      <c r="AY20" s="105"/>
      <c r="AZ20" s="105"/>
      <c r="BA20" s="105"/>
      <c r="BB20" s="99">
        <v>16.739999999999998</v>
      </c>
      <c r="BC20" s="70"/>
      <c r="BD20" s="150"/>
      <c r="BE20" s="150"/>
      <c r="BF20" s="150"/>
      <c r="BG20" s="151"/>
    </row>
    <row r="21" spans="2:59" ht="14.1" customHeight="1">
      <c r="B21" s="175"/>
      <c r="C21" s="73" t="s">
        <v>18</v>
      </c>
      <c r="D21" s="73"/>
      <c r="E21" s="105"/>
      <c r="F21" s="105"/>
      <c r="G21" s="105"/>
      <c r="H21" s="105"/>
      <c r="I21" s="105"/>
      <c r="J21" s="75">
        <v>45.708791599999998</v>
      </c>
      <c r="K21" s="71"/>
      <c r="Y21" s="113"/>
      <c r="Z21" s="71"/>
      <c r="AA21" s="71"/>
      <c r="AB21" s="71"/>
      <c r="AC21" s="71"/>
      <c r="AD21" s="71"/>
      <c r="AE21" s="71"/>
      <c r="AH21" s="113"/>
      <c r="AI21" s="49"/>
      <c r="AP21" s="113"/>
      <c r="AQ21" s="113"/>
      <c r="AR21" s="113"/>
      <c r="AS21" s="113"/>
      <c r="AT21" s="72" t="s">
        <v>18</v>
      </c>
      <c r="AU21" s="73"/>
      <c r="AV21" s="105"/>
      <c r="AW21" s="105"/>
      <c r="AX21" s="105"/>
      <c r="AY21" s="105"/>
      <c r="AZ21" s="105"/>
      <c r="BA21" s="105"/>
      <c r="BB21" s="75">
        <v>81.045220470000004</v>
      </c>
      <c r="BC21" s="70"/>
      <c r="BD21" s="150"/>
      <c r="BE21" s="150"/>
      <c r="BF21" s="150"/>
      <c r="BG21" s="151"/>
    </row>
    <row r="22" spans="2:59" ht="14.1" customHeight="1">
      <c r="B22" s="175"/>
      <c r="C22" s="73" t="s">
        <v>19</v>
      </c>
      <c r="D22" s="73"/>
      <c r="E22" s="105"/>
      <c r="F22" s="105"/>
      <c r="G22" s="105"/>
      <c r="H22" s="105"/>
      <c r="I22" s="105"/>
      <c r="J22" s="75">
        <v>29.9659099</v>
      </c>
      <c r="K22" s="71"/>
      <c r="Y22" s="113"/>
      <c r="Z22" s="71"/>
      <c r="AA22" s="71"/>
      <c r="AB22" s="71"/>
      <c r="AC22" s="71"/>
      <c r="AD22" s="71"/>
      <c r="AE22" s="71"/>
      <c r="AH22" s="113"/>
      <c r="AI22" s="49"/>
      <c r="AP22" s="113"/>
      <c r="AQ22" s="113"/>
      <c r="AR22" s="113"/>
      <c r="AS22" s="113"/>
      <c r="AT22" s="72" t="s">
        <v>19</v>
      </c>
      <c r="AU22" s="73"/>
      <c r="AV22" s="105"/>
      <c r="AW22" s="105"/>
      <c r="AX22" s="105"/>
      <c r="AY22" s="105"/>
      <c r="AZ22" s="105"/>
      <c r="BA22" s="105"/>
      <c r="BB22" s="75">
        <v>50.22</v>
      </c>
      <c r="BC22" s="70"/>
      <c r="BD22" s="150"/>
      <c r="BE22" s="150"/>
      <c r="BF22" s="150"/>
      <c r="BG22" s="151"/>
    </row>
    <row r="23" spans="2:59" ht="14.1" customHeight="1">
      <c r="B23" s="175"/>
      <c r="C23" s="73" t="s">
        <v>20</v>
      </c>
      <c r="D23" s="73"/>
      <c r="E23" s="105"/>
      <c r="F23" s="105"/>
      <c r="G23" s="105"/>
      <c r="H23" s="105"/>
      <c r="I23" s="105"/>
      <c r="J23" s="75">
        <v>86.550642699999997</v>
      </c>
      <c r="K23" s="71"/>
      <c r="Y23" s="113"/>
      <c r="Z23" s="71"/>
      <c r="AA23" s="71"/>
      <c r="AB23" s="71"/>
      <c r="AC23" s="71"/>
      <c r="AD23" s="71"/>
      <c r="AE23" s="71"/>
      <c r="AH23" s="113"/>
      <c r="AI23" s="49"/>
      <c r="AP23" s="113"/>
      <c r="AQ23" s="113"/>
      <c r="AR23" s="113"/>
      <c r="AS23" s="113"/>
      <c r="AT23" s="72" t="s">
        <v>20</v>
      </c>
      <c r="AU23" s="73"/>
      <c r="AV23" s="105"/>
      <c r="AW23" s="105"/>
      <c r="AX23" s="105"/>
      <c r="AY23" s="105"/>
      <c r="AZ23" s="105"/>
      <c r="BA23" s="105"/>
      <c r="BB23" s="75">
        <v>112.995</v>
      </c>
      <c r="BC23" s="70"/>
      <c r="BD23" s="150"/>
      <c r="BE23" s="150"/>
      <c r="BF23" s="150"/>
      <c r="BG23" s="151"/>
    </row>
    <row r="24" spans="2:59" ht="14.1" customHeight="1">
      <c r="B24" s="175"/>
      <c r="C24" s="73" t="s">
        <v>48</v>
      </c>
      <c r="D24" s="73"/>
      <c r="E24" s="105"/>
      <c r="F24" s="105"/>
      <c r="G24" s="105"/>
      <c r="H24" s="105"/>
      <c r="I24" s="105"/>
      <c r="J24" s="75">
        <v>26.625</v>
      </c>
      <c r="K24" s="71"/>
      <c r="Y24" s="113"/>
      <c r="Z24" s="71"/>
      <c r="AA24" s="71"/>
      <c r="AB24" s="71"/>
      <c r="AC24" s="71"/>
      <c r="AD24" s="71"/>
      <c r="AE24" s="71"/>
      <c r="AH24" s="113"/>
      <c r="AI24" s="49"/>
      <c r="AP24" s="113"/>
      <c r="AQ24" s="113"/>
      <c r="AR24" s="113"/>
      <c r="AS24" s="113"/>
      <c r="AT24" s="72" t="s">
        <v>48</v>
      </c>
      <c r="AU24" s="73"/>
      <c r="AV24" s="105"/>
      <c r="AW24" s="105"/>
      <c r="AX24" s="105"/>
      <c r="AY24" s="105"/>
      <c r="AZ24" s="105"/>
      <c r="BA24" s="105"/>
      <c r="BB24" s="75">
        <v>41.85</v>
      </c>
      <c r="BC24" s="70"/>
      <c r="BD24" s="150"/>
      <c r="BE24" s="150"/>
      <c r="BF24" s="150"/>
      <c r="BG24" s="151"/>
    </row>
    <row r="25" spans="2:59" ht="14.1" customHeight="1">
      <c r="B25" s="175"/>
      <c r="C25" s="73" t="s">
        <v>50</v>
      </c>
      <c r="D25" s="73"/>
      <c r="E25" s="105"/>
      <c r="F25" s="105"/>
      <c r="G25" s="105"/>
      <c r="H25" s="105"/>
      <c r="I25" s="105"/>
      <c r="J25" s="75">
        <v>1.6260972</v>
      </c>
      <c r="K25" s="71"/>
      <c r="Y25" s="113"/>
      <c r="Z25" s="71"/>
      <c r="AA25" s="71"/>
      <c r="AB25" s="71"/>
      <c r="AC25" s="71"/>
      <c r="AD25" s="71"/>
      <c r="AE25" s="71"/>
      <c r="AH25" s="113"/>
      <c r="AI25" s="49"/>
      <c r="AP25" s="113"/>
      <c r="AQ25" s="113"/>
      <c r="AR25" s="113"/>
      <c r="AS25" s="113"/>
      <c r="AT25" s="72" t="s">
        <v>50</v>
      </c>
      <c r="AU25" s="73"/>
      <c r="AV25" s="105"/>
      <c r="AW25" s="105"/>
      <c r="AX25" s="105"/>
      <c r="AY25" s="105"/>
      <c r="AZ25" s="105"/>
      <c r="BA25" s="105"/>
      <c r="BB25" s="75">
        <v>2.5110000000000001</v>
      </c>
      <c r="BC25" s="70"/>
      <c r="BD25" s="150"/>
      <c r="BE25" s="150"/>
      <c r="BF25" s="150"/>
      <c r="BG25" s="151"/>
    </row>
    <row r="26" spans="2:59" ht="14.1" customHeight="1">
      <c r="B26" s="175"/>
      <c r="C26" s="73" t="s">
        <v>21</v>
      </c>
      <c r="D26" s="73"/>
      <c r="E26" s="105"/>
      <c r="F26" s="105"/>
      <c r="G26" s="105"/>
      <c r="H26" s="105"/>
      <c r="I26" s="105"/>
      <c r="J26" s="75">
        <v>388.33693319999998</v>
      </c>
      <c r="K26" s="71"/>
      <c r="Y26"/>
      <c r="Z26"/>
      <c r="AA26"/>
      <c r="AB26"/>
      <c r="AC26" s="71"/>
      <c r="AD26" s="71"/>
      <c r="AE26" s="71"/>
      <c r="AH26" s="113"/>
      <c r="AI26" s="49"/>
      <c r="AP26"/>
      <c r="AQ26"/>
      <c r="AR26"/>
      <c r="AS26"/>
      <c r="AT26" s="72" t="s">
        <v>21</v>
      </c>
      <c r="AU26" s="73"/>
      <c r="AV26" s="105"/>
      <c r="AW26" s="105"/>
      <c r="AX26" s="105"/>
      <c r="AY26" s="105"/>
      <c r="AZ26" s="105"/>
      <c r="BA26" s="105"/>
      <c r="BB26" s="75">
        <v>410.13</v>
      </c>
      <c r="BC26" s="70"/>
      <c r="BD26" s="150"/>
      <c r="BE26" s="150"/>
      <c r="BF26" s="150"/>
      <c r="BG26" s="151"/>
    </row>
    <row r="27" spans="2:59" ht="14.1" customHeight="1">
      <c r="B27" s="175"/>
      <c r="C27" s="94" t="s">
        <v>22</v>
      </c>
      <c r="D27" s="94"/>
      <c r="E27" s="105"/>
      <c r="F27" s="105"/>
      <c r="G27" s="105"/>
      <c r="H27" s="105"/>
      <c r="I27" s="105"/>
      <c r="J27" s="143">
        <v>51.476968300000003</v>
      </c>
      <c r="K27" s="71"/>
      <c r="Y27"/>
      <c r="Z27"/>
      <c r="AA27"/>
      <c r="AB27"/>
      <c r="AC27" s="71"/>
      <c r="AD27" s="71"/>
      <c r="AE27" s="71"/>
      <c r="AH27" s="113"/>
      <c r="AI27" s="49"/>
      <c r="AP27"/>
      <c r="AQ27"/>
      <c r="AR27"/>
      <c r="AS27"/>
      <c r="AT27" s="93" t="s">
        <v>22</v>
      </c>
      <c r="AU27" s="94"/>
      <c r="AV27" s="105"/>
      <c r="AW27" s="105"/>
      <c r="AX27" s="105"/>
      <c r="AY27" s="105"/>
      <c r="AZ27" s="105"/>
      <c r="BA27" s="105"/>
      <c r="BB27" s="143">
        <v>159.03</v>
      </c>
      <c r="BC27" s="70"/>
      <c r="BD27" s="150"/>
      <c r="BE27" s="150"/>
      <c r="BF27" s="150"/>
      <c r="BG27" s="151"/>
    </row>
    <row r="28" spans="2:59" ht="14.1" customHeight="1">
      <c r="B28" s="175"/>
      <c r="C28" s="372">
        <v>88.497665339999998</v>
      </c>
      <c r="D28" s="86">
        <v>88.497665339999998</v>
      </c>
      <c r="E28" s="86">
        <v>88.497665339999998</v>
      </c>
      <c r="F28" s="86">
        <v>88.497665339999998</v>
      </c>
      <c r="G28" s="86">
        <v>88.497665339999998</v>
      </c>
      <c r="H28" s="86">
        <v>88.497665339999998</v>
      </c>
      <c r="I28" s="86">
        <v>88.497665339999998</v>
      </c>
      <c r="J28" s="373">
        <v>25.285047240000001</v>
      </c>
      <c r="K28" s="71"/>
      <c r="Y28"/>
      <c r="Z28"/>
      <c r="AA28"/>
      <c r="AB28"/>
      <c r="AC28" s="71"/>
      <c r="AD28" s="71"/>
      <c r="AE28" s="71"/>
      <c r="AH28" s="113"/>
      <c r="AI28" s="49"/>
      <c r="AP28"/>
      <c r="AQ28"/>
      <c r="AR28"/>
      <c r="AS28"/>
      <c r="AT28" s="76">
        <v>97.169024500000006</v>
      </c>
      <c r="AU28" s="77">
        <v>97.169024500000006</v>
      </c>
      <c r="AV28" s="77">
        <v>97.169024500000006</v>
      </c>
      <c r="AW28" s="77">
        <v>97.169024500000006</v>
      </c>
      <c r="AX28" s="77">
        <v>97.169024500000006</v>
      </c>
      <c r="AY28" s="77">
        <v>97.169024500000006</v>
      </c>
      <c r="AZ28" s="77">
        <v>97.169024500000006</v>
      </c>
      <c r="BA28" s="77">
        <v>97.169024500000006</v>
      </c>
      <c r="BB28" s="78">
        <v>97.169024500000006</v>
      </c>
      <c r="BC28" s="70"/>
      <c r="BD28" s="150"/>
      <c r="BE28" s="150"/>
      <c r="BF28" s="150"/>
      <c r="BG28" s="151"/>
    </row>
    <row r="29" spans="2:59" ht="14.1" customHeight="1">
      <c r="B29" s="176"/>
      <c r="C29" s="144"/>
      <c r="D29" s="144"/>
      <c r="E29" s="144"/>
      <c r="F29" s="144"/>
      <c r="G29" s="144"/>
      <c r="H29" s="145"/>
      <c r="I29" s="145"/>
      <c r="J29" s="145"/>
      <c r="K29" s="71"/>
      <c r="Y29" s="113"/>
      <c r="Z29" s="71"/>
      <c r="AA29" s="71"/>
      <c r="AB29" s="71"/>
      <c r="AC29" s="71"/>
      <c r="AD29" s="71"/>
      <c r="AE29" s="71"/>
      <c r="AH29" s="113"/>
      <c r="AI29" s="49"/>
      <c r="AP29" s="113"/>
      <c r="AQ29" s="113"/>
      <c r="AR29" s="113"/>
      <c r="AS29" s="113"/>
      <c r="AY29" s="71"/>
      <c r="AZ29" s="71"/>
      <c r="BA29" s="71"/>
      <c r="BC29" s="70"/>
      <c r="BD29" s="277">
        <f>SUM(C8:BC8,C19:BC19)</f>
        <v>6622.9442658999997</v>
      </c>
      <c r="BE29" s="202"/>
      <c r="BF29" s="202"/>
      <c r="BG29" s="278"/>
    </row>
    <row r="30" spans="2:59" ht="15.6">
      <c r="B30" s="12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11"/>
      <c r="BD30" s="19"/>
      <c r="BE30" s="20"/>
      <c r="BF30" s="20"/>
      <c r="BG30" s="21"/>
    </row>
    <row r="31" spans="2:59" ht="14.85" customHeight="1">
      <c r="B31" s="229" t="s">
        <v>24</v>
      </c>
      <c r="C31" s="37"/>
      <c r="D31" s="37"/>
      <c r="E31" s="37"/>
      <c r="F31" s="37"/>
      <c r="G31" s="37"/>
      <c r="H31" s="38"/>
      <c r="I31" s="39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17"/>
      <c r="BE31" s="23"/>
      <c r="BF31" s="23"/>
      <c r="BG31" s="18"/>
    </row>
    <row r="32" spans="2:59" ht="14.85" customHeight="1">
      <c r="B32" s="230"/>
      <c r="C32" s="37"/>
      <c r="D32" s="37"/>
      <c r="E32" s="37"/>
      <c r="F32" s="37"/>
      <c r="J32" s="47"/>
      <c r="K32" s="47"/>
      <c r="M32" s="172" t="s">
        <v>25</v>
      </c>
      <c r="N32" s="264"/>
      <c r="O32" s="265"/>
      <c r="P32" s="4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47"/>
      <c r="AD32" s="47"/>
      <c r="AE32" s="47"/>
      <c r="AF32" s="172" t="s">
        <v>26</v>
      </c>
      <c r="AG32" s="172"/>
      <c r="AH32" s="173"/>
      <c r="AI32" s="37"/>
      <c r="AJ32" s="42"/>
      <c r="AK32" s="42"/>
      <c r="AL32" s="42"/>
      <c r="AM32" s="37"/>
      <c r="AN32" s="37"/>
      <c r="AO32" s="37"/>
      <c r="AP32" s="37"/>
      <c r="AQ32" s="47"/>
      <c r="AR32" s="47"/>
      <c r="AS32" s="47"/>
      <c r="AT32" s="47"/>
      <c r="AU32" s="172" t="s">
        <v>27</v>
      </c>
      <c r="AV32" s="172"/>
      <c r="AW32" s="173"/>
      <c r="AX32" s="37"/>
      <c r="AY32" s="37"/>
      <c r="BC32" s="37"/>
      <c r="BD32" s="17"/>
      <c r="BE32" s="23"/>
      <c r="BF32" s="23"/>
      <c r="BG32" s="18"/>
    </row>
    <row r="33" spans="2:59" ht="12.6">
      <c r="B33" s="230"/>
      <c r="C33" s="37"/>
      <c r="D33" s="37"/>
      <c r="E33" s="37"/>
      <c r="F33" s="37"/>
      <c r="J33" s="42"/>
      <c r="K33" s="42"/>
      <c r="M33" s="279">
        <f>SUM(O34:O40)</f>
        <v>1314.5271839999998</v>
      </c>
      <c r="N33" s="219"/>
      <c r="O33" s="280"/>
      <c r="P33" s="47"/>
      <c r="Q33" s="37"/>
      <c r="R33" s="37"/>
      <c r="S33" s="37"/>
      <c r="T33" s="37"/>
      <c r="AA33" s="37"/>
      <c r="AB33" s="37"/>
      <c r="AC33" s="47"/>
      <c r="AD33" s="47"/>
      <c r="AE33" s="47"/>
      <c r="AF33" s="232">
        <f>SUM(AH34:AH39)</f>
        <v>1049.8099434000001</v>
      </c>
      <c r="AG33" s="216"/>
      <c r="AH33" s="233"/>
      <c r="AI33" s="37"/>
      <c r="AJ33" s="42"/>
      <c r="AK33" s="42"/>
      <c r="AL33" s="42"/>
      <c r="AM33" s="37"/>
      <c r="AN33" s="37"/>
      <c r="AO33" s="37"/>
      <c r="AP33" s="37"/>
      <c r="AQ33" s="42"/>
      <c r="AR33" s="42"/>
      <c r="AS33" s="42"/>
      <c r="AT33" s="42"/>
      <c r="AU33" s="232">
        <f>SUM(AW34:AW39)</f>
        <v>1055.5361433999999</v>
      </c>
      <c r="AV33" s="216"/>
      <c r="AW33" s="233"/>
      <c r="AX33" s="37"/>
      <c r="AY33" s="37"/>
      <c r="BC33" s="37"/>
      <c r="BD33" s="17"/>
      <c r="BE33" s="23"/>
      <c r="BF33" s="23"/>
      <c r="BG33" s="18"/>
    </row>
    <row r="34" spans="2:59" ht="12.6" customHeight="1">
      <c r="B34" s="230"/>
      <c r="C34" s="37"/>
      <c r="D34" s="37"/>
      <c r="E34" s="37"/>
      <c r="F34" s="37"/>
      <c r="J34" s="37"/>
      <c r="K34" s="37"/>
      <c r="M34" s="157" t="s">
        <v>17</v>
      </c>
      <c r="N34" s="154"/>
      <c r="O34" s="79">
        <v>59.29</v>
      </c>
      <c r="P34" s="37"/>
      <c r="Q34" s="37"/>
      <c r="R34" s="37"/>
      <c r="S34" s="37"/>
      <c r="T34" s="37"/>
      <c r="AA34" s="37"/>
      <c r="AB34" s="37"/>
      <c r="AC34" s="37"/>
      <c r="AD34" s="37"/>
      <c r="AE34" s="37"/>
      <c r="AF34" s="343" t="s">
        <v>18</v>
      </c>
      <c r="AG34" s="344"/>
      <c r="AH34" s="79">
        <v>114.7244275</v>
      </c>
      <c r="AI34" s="37"/>
      <c r="AJ34" s="39"/>
      <c r="AK34" s="37"/>
      <c r="AL34" s="37"/>
      <c r="AM34" s="40"/>
      <c r="AN34" s="40"/>
      <c r="AO34" s="40"/>
      <c r="AP34" s="41"/>
      <c r="AQ34" s="39"/>
      <c r="AR34" s="37"/>
      <c r="AS34" s="37"/>
      <c r="AT34" s="37"/>
      <c r="AU34" s="343" t="s">
        <v>18</v>
      </c>
      <c r="AV34" s="344"/>
      <c r="AW34" s="79">
        <v>228.338955</v>
      </c>
      <c r="AX34" s="40"/>
      <c r="AY34" s="40"/>
      <c r="AZ34" s="41"/>
      <c r="BA34" s="37"/>
      <c r="BB34" s="37"/>
      <c r="BC34" s="37"/>
      <c r="BD34" s="17"/>
      <c r="BE34" s="23"/>
      <c r="BF34" s="23"/>
      <c r="BG34" s="18"/>
    </row>
    <row r="35" spans="2:59" ht="12.6" customHeight="1">
      <c r="B35" s="230"/>
      <c r="C35" s="37"/>
      <c r="D35" s="37"/>
      <c r="E35" s="37"/>
      <c r="F35" s="37"/>
      <c r="J35" s="37"/>
      <c r="K35" s="37"/>
      <c r="M35" s="155" t="s">
        <v>18</v>
      </c>
      <c r="N35" s="153"/>
      <c r="O35" s="79">
        <v>518.73621009999999</v>
      </c>
      <c r="P35" s="37"/>
      <c r="Q35" s="37"/>
      <c r="R35" s="37"/>
      <c r="S35" s="37"/>
      <c r="T35" s="37"/>
      <c r="AA35" s="37"/>
      <c r="AB35" s="37"/>
      <c r="AC35" s="37"/>
      <c r="AD35" s="37"/>
      <c r="AE35" s="37"/>
      <c r="AF35" s="341" t="s">
        <v>19</v>
      </c>
      <c r="AG35" s="342"/>
      <c r="AH35" s="79">
        <v>128.5154426</v>
      </c>
      <c r="AI35" s="37"/>
      <c r="AJ35" s="39"/>
      <c r="AK35" s="37"/>
      <c r="AL35" s="37"/>
      <c r="AM35" s="40"/>
      <c r="AN35" s="40"/>
      <c r="AO35" s="40"/>
      <c r="AP35" s="41"/>
      <c r="AQ35" s="39"/>
      <c r="AR35" s="37"/>
      <c r="AS35" s="37"/>
      <c r="AT35" s="37"/>
      <c r="AU35" s="341" t="s">
        <v>19</v>
      </c>
      <c r="AV35" s="342"/>
      <c r="AW35" s="79">
        <v>146.79905479999999</v>
      </c>
      <c r="AX35" s="40"/>
      <c r="AY35" s="40"/>
      <c r="AZ35" s="41"/>
      <c r="BA35" s="37"/>
      <c r="BB35" s="37"/>
      <c r="BC35" s="37"/>
      <c r="BD35" s="17"/>
      <c r="BE35" s="23"/>
      <c r="BF35" s="23"/>
      <c r="BG35" s="18"/>
    </row>
    <row r="36" spans="2:59" ht="12.6" customHeight="1">
      <c r="B36" s="230"/>
      <c r="C36" s="37"/>
      <c r="D36" s="37"/>
      <c r="E36" s="37"/>
      <c r="F36" s="37"/>
      <c r="J36" s="37"/>
      <c r="K36" s="37"/>
      <c r="M36" s="157" t="s">
        <v>19</v>
      </c>
      <c r="N36" s="154"/>
      <c r="O36" s="79">
        <v>5.75</v>
      </c>
      <c r="P36" s="37"/>
      <c r="Q36" s="37"/>
      <c r="R36" s="37"/>
      <c r="S36" s="37"/>
      <c r="T36" s="37"/>
      <c r="AA36" s="37"/>
      <c r="AB36" s="37"/>
      <c r="AC36" s="37"/>
      <c r="AD36" s="37"/>
      <c r="AE36" s="37"/>
      <c r="AF36" s="343" t="s">
        <v>20</v>
      </c>
      <c r="AG36" s="344"/>
      <c r="AH36" s="79">
        <v>127.15096699999999</v>
      </c>
      <c r="AI36" s="37"/>
      <c r="AJ36" s="39"/>
      <c r="AK36" s="37"/>
      <c r="AL36" s="37"/>
      <c r="AM36" s="40"/>
      <c r="AN36" s="40"/>
      <c r="AO36" s="40"/>
      <c r="AP36" s="41"/>
      <c r="AQ36" s="39"/>
      <c r="AR36" s="37"/>
      <c r="AS36" s="37"/>
      <c r="AT36" s="37"/>
      <c r="AU36" s="343" t="s">
        <v>20</v>
      </c>
      <c r="AV36" s="344"/>
      <c r="AW36" s="79">
        <v>131.03549899999999</v>
      </c>
      <c r="AX36" s="40"/>
      <c r="AY36" s="40"/>
      <c r="AZ36" s="41"/>
      <c r="BA36" s="37"/>
      <c r="BB36" s="37"/>
      <c r="BC36" s="37"/>
      <c r="BD36" s="17"/>
      <c r="BE36" s="23"/>
      <c r="BF36" s="23"/>
      <c r="BG36" s="18"/>
    </row>
    <row r="37" spans="2:59" ht="12.6" customHeight="1">
      <c r="B37" s="230"/>
      <c r="C37" s="37"/>
      <c r="D37" s="37"/>
      <c r="E37" s="37"/>
      <c r="F37" s="37"/>
      <c r="J37" s="37"/>
      <c r="K37" s="37"/>
      <c r="M37" s="155" t="s">
        <v>20</v>
      </c>
      <c r="N37" s="153"/>
      <c r="O37" s="79">
        <v>173.95097390000001</v>
      </c>
      <c r="P37" s="37"/>
      <c r="Q37" s="37"/>
      <c r="R37" s="37"/>
      <c r="S37" s="37"/>
      <c r="T37" s="37"/>
      <c r="AA37" s="37"/>
      <c r="AB37" s="37"/>
      <c r="AC37" s="37"/>
      <c r="AD37" s="37"/>
      <c r="AE37" s="37"/>
      <c r="AF37" s="374" t="s">
        <v>48</v>
      </c>
      <c r="AG37" s="368"/>
      <c r="AH37" s="79">
        <v>84</v>
      </c>
      <c r="AI37" s="37"/>
      <c r="AJ37" s="39"/>
      <c r="AK37" s="37"/>
      <c r="AL37" s="37"/>
      <c r="AM37" s="40"/>
      <c r="AN37" s="40"/>
      <c r="AO37" s="40"/>
      <c r="AP37" s="41"/>
      <c r="AQ37" s="39"/>
      <c r="AR37" s="37"/>
      <c r="AS37" s="37"/>
      <c r="AT37" s="37"/>
      <c r="AU37" s="343" t="s">
        <v>48</v>
      </c>
      <c r="AV37" s="344"/>
      <c r="AW37" s="79">
        <v>84</v>
      </c>
      <c r="AX37" s="40"/>
      <c r="AY37" s="40"/>
      <c r="AZ37" s="41"/>
      <c r="BA37" s="37"/>
      <c r="BB37" s="37"/>
      <c r="BC37" s="37"/>
      <c r="BD37" s="17"/>
      <c r="BE37" s="23"/>
      <c r="BF37" s="23"/>
      <c r="BG37" s="18"/>
    </row>
    <row r="38" spans="2:59" ht="12.6" customHeight="1">
      <c r="B38" s="230"/>
      <c r="C38" s="37"/>
      <c r="D38" s="37"/>
      <c r="E38" s="37"/>
      <c r="F38" s="37"/>
      <c r="J38" s="37"/>
      <c r="K38" s="37"/>
      <c r="M38" s="155" t="s">
        <v>48</v>
      </c>
      <c r="N38" s="153"/>
      <c r="O38" s="79">
        <v>28.8</v>
      </c>
      <c r="P38" s="37"/>
      <c r="Q38" s="37"/>
      <c r="R38" s="37"/>
      <c r="S38" s="37"/>
      <c r="T38" s="37"/>
      <c r="AA38" s="37"/>
      <c r="AB38" s="37"/>
      <c r="AC38" s="37"/>
      <c r="AD38" s="37"/>
      <c r="AE38" s="37"/>
      <c r="AF38" s="374" t="s">
        <v>21</v>
      </c>
      <c r="AG38" s="368"/>
      <c r="AH38" s="79">
        <v>503.01910629999998</v>
      </c>
      <c r="AI38" s="37"/>
      <c r="AJ38" s="39"/>
      <c r="AK38" s="37"/>
      <c r="AL38" s="37"/>
      <c r="AM38" s="40"/>
      <c r="AN38" s="40"/>
      <c r="AO38" s="40"/>
      <c r="AP38" s="41"/>
      <c r="AQ38" s="39"/>
      <c r="AR38" s="37"/>
      <c r="AS38" s="37"/>
      <c r="AT38" s="37"/>
      <c r="AU38" s="343" t="s">
        <v>21</v>
      </c>
      <c r="AV38" s="344"/>
      <c r="AW38" s="79">
        <v>352.8</v>
      </c>
      <c r="AX38" s="40"/>
      <c r="AY38" s="40"/>
      <c r="AZ38" s="41"/>
      <c r="BA38" s="37"/>
      <c r="BB38" s="37"/>
      <c r="BC38" s="37"/>
      <c r="BD38" s="17"/>
      <c r="BE38" s="23"/>
      <c r="BF38" s="23"/>
      <c r="BG38" s="18"/>
    </row>
    <row r="39" spans="2:59" ht="12.6" customHeight="1">
      <c r="B39" s="230"/>
      <c r="C39" s="37"/>
      <c r="D39" s="37"/>
      <c r="E39" s="37"/>
      <c r="F39" s="37"/>
      <c r="J39" s="37"/>
      <c r="K39" s="37"/>
      <c r="M39" s="155" t="s">
        <v>21</v>
      </c>
      <c r="N39" s="153"/>
      <c r="O39" s="79">
        <v>403.2</v>
      </c>
      <c r="P39" s="37"/>
      <c r="Q39" s="37"/>
      <c r="R39" s="37"/>
      <c r="S39" s="37"/>
      <c r="T39" s="37"/>
      <c r="AA39" s="37"/>
      <c r="AB39" s="37"/>
      <c r="AC39" s="37"/>
      <c r="AD39" s="37"/>
      <c r="AE39" s="37"/>
      <c r="AF39" s="148" t="s">
        <v>22</v>
      </c>
      <c r="AG39" s="147"/>
      <c r="AH39" s="79">
        <v>92.4</v>
      </c>
      <c r="AI39" s="37"/>
      <c r="AJ39" s="39"/>
      <c r="AK39" s="37"/>
      <c r="AL39" s="37"/>
      <c r="AM39" s="40"/>
      <c r="AN39" s="40"/>
      <c r="AO39" s="40"/>
      <c r="AP39" s="41"/>
      <c r="AQ39" s="39"/>
      <c r="AR39" s="37"/>
      <c r="AS39" s="37"/>
      <c r="AT39" s="37"/>
      <c r="AU39" s="148" t="s">
        <v>22</v>
      </c>
      <c r="AV39" s="147"/>
      <c r="AW39" s="79">
        <v>112.5626346</v>
      </c>
      <c r="AX39" s="40"/>
      <c r="AY39" s="40"/>
      <c r="AZ39" s="41"/>
      <c r="BA39" s="37"/>
      <c r="BB39" s="37"/>
      <c r="BC39" s="37"/>
      <c r="BD39" s="17"/>
      <c r="BE39" s="23"/>
      <c r="BF39" s="23"/>
      <c r="BG39" s="18"/>
    </row>
    <row r="40" spans="2:59" ht="12.6" customHeight="1">
      <c r="B40" s="230"/>
      <c r="C40" s="37"/>
      <c r="D40" s="37"/>
      <c r="E40" s="37"/>
      <c r="F40" s="37"/>
      <c r="J40" s="37"/>
      <c r="K40" s="37"/>
      <c r="M40" s="155" t="s">
        <v>22</v>
      </c>
      <c r="N40" s="153"/>
      <c r="O40" s="79">
        <v>124.8</v>
      </c>
      <c r="P40" s="37"/>
      <c r="Q40" s="37"/>
      <c r="R40" s="37"/>
      <c r="S40" s="37"/>
      <c r="T40" s="37"/>
      <c r="AA40" s="37"/>
      <c r="AB40" s="37"/>
      <c r="AC40" s="37"/>
      <c r="AD40" s="37"/>
      <c r="AE40" s="37"/>
      <c r="AF40" s="80">
        <v>349.9366478</v>
      </c>
      <c r="AG40" s="81">
        <v>349.9366478</v>
      </c>
      <c r="AH40" s="82">
        <v>349.9366478</v>
      </c>
      <c r="AI40" s="37"/>
      <c r="AJ40" s="39"/>
      <c r="AK40" s="37"/>
      <c r="AL40" s="37"/>
      <c r="AM40" s="40"/>
      <c r="AN40" s="40"/>
      <c r="AO40" s="40"/>
      <c r="AP40" s="41"/>
      <c r="AQ40" s="39"/>
      <c r="AR40" s="37"/>
      <c r="AS40" s="37"/>
      <c r="AT40" s="37"/>
      <c r="AU40" s="80">
        <v>343.83256060000002</v>
      </c>
      <c r="AV40" s="81">
        <v>367.87102220000003</v>
      </c>
      <c r="AW40" s="82">
        <v>343.83256060000002</v>
      </c>
      <c r="AX40" s="40"/>
      <c r="AY40" s="40"/>
      <c r="AZ40" s="41"/>
      <c r="BA40" s="37"/>
      <c r="BB40" s="37"/>
      <c r="BC40" s="37"/>
      <c r="BD40" s="17"/>
      <c r="BE40" s="23"/>
      <c r="BF40" s="23"/>
      <c r="BG40" s="18"/>
    </row>
    <row r="41" spans="2:59" ht="12.6" customHeight="1">
      <c r="B41" s="230"/>
      <c r="C41" s="37"/>
      <c r="D41" s="37"/>
      <c r="E41" s="37"/>
      <c r="F41" s="37"/>
      <c r="J41" s="37"/>
      <c r="K41" s="37"/>
      <c r="M41" s="80">
        <v>444.10635569999999</v>
      </c>
      <c r="N41" s="81">
        <v>436.69894829999998</v>
      </c>
      <c r="O41" s="82">
        <v>433.73598529999998</v>
      </c>
      <c r="P41" s="37"/>
      <c r="Q41" s="37"/>
      <c r="R41" s="37"/>
      <c r="S41" s="37"/>
      <c r="T41" s="37"/>
      <c r="AA41" s="37"/>
      <c r="AB41" s="37"/>
      <c r="AC41" s="37"/>
      <c r="AD41" s="37"/>
      <c r="AE41" s="37"/>
      <c r="AI41" s="37"/>
      <c r="AJ41" s="39"/>
      <c r="AK41" s="37"/>
      <c r="AL41" s="37"/>
      <c r="AM41" s="40"/>
      <c r="AN41" s="40"/>
      <c r="AO41" s="40"/>
      <c r="AP41" s="41"/>
      <c r="AQ41" s="39"/>
      <c r="AR41" s="37"/>
      <c r="AS41" s="37"/>
      <c r="AT41" s="37"/>
      <c r="AX41" s="40"/>
      <c r="AY41" s="40"/>
      <c r="AZ41" s="41"/>
      <c r="BA41" s="37"/>
      <c r="BB41" s="37"/>
      <c r="BC41" s="37"/>
      <c r="BD41" s="17"/>
      <c r="BE41" s="23"/>
      <c r="BF41" s="23"/>
      <c r="BG41" s="18"/>
    </row>
    <row r="42" spans="2:59" ht="12.6" customHeight="1">
      <c r="B42" s="230"/>
      <c r="C42" s="37"/>
      <c r="D42" s="37"/>
      <c r="E42" s="37"/>
      <c r="F42" s="37"/>
      <c r="G42" s="37"/>
      <c r="H42" s="38"/>
      <c r="I42" s="39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AA42" s="37"/>
      <c r="AB42" s="37"/>
      <c r="AC42" s="37"/>
      <c r="AD42" s="37"/>
      <c r="AE42" s="37"/>
      <c r="AF42" s="37"/>
      <c r="AG42" s="37"/>
      <c r="AH42" s="37"/>
      <c r="AI42" s="37"/>
      <c r="AJ42" s="39"/>
      <c r="AK42" s="37"/>
      <c r="AL42" s="37"/>
      <c r="AM42" s="40"/>
      <c r="AN42" s="40"/>
      <c r="AO42" s="40"/>
      <c r="AP42" s="41"/>
      <c r="AQ42" s="39"/>
      <c r="AR42" s="37"/>
      <c r="AS42" s="37"/>
      <c r="AT42" s="37"/>
      <c r="AU42" s="37"/>
      <c r="AV42" s="40"/>
      <c r="AW42" s="40"/>
      <c r="AX42" s="40"/>
      <c r="AY42" s="40"/>
      <c r="AZ42" s="41"/>
      <c r="BA42" s="37"/>
      <c r="BB42" s="37"/>
      <c r="BC42" s="37"/>
      <c r="BD42" s="17"/>
      <c r="BE42" s="23"/>
      <c r="BF42" s="23"/>
      <c r="BG42" s="18"/>
    </row>
    <row r="43" spans="2:59" ht="12.6" customHeight="1">
      <c r="B43" s="230"/>
      <c r="C43" s="37"/>
      <c r="D43" s="37"/>
      <c r="E43" s="37"/>
      <c r="F43" s="37"/>
      <c r="G43" s="37"/>
      <c r="H43" s="223" t="s">
        <v>28</v>
      </c>
      <c r="I43" s="223"/>
      <c r="J43" s="223"/>
      <c r="K43" s="173"/>
      <c r="L43" s="37"/>
      <c r="M43" s="37"/>
      <c r="N43" s="37"/>
      <c r="S43" s="37"/>
      <c r="T43" s="37"/>
      <c r="AA43" s="37"/>
      <c r="AB43" s="37"/>
      <c r="AC43" s="37"/>
      <c r="AD43" s="37"/>
      <c r="AE43" s="37"/>
      <c r="AF43" s="37"/>
      <c r="AG43" s="345" t="s">
        <v>28</v>
      </c>
      <c r="AH43" s="346"/>
      <c r="AI43" s="346"/>
      <c r="AJ43" s="347"/>
      <c r="AK43" s="37"/>
      <c r="AL43" s="37"/>
      <c r="AM43" s="40"/>
      <c r="AN43" s="40"/>
      <c r="AO43" s="40"/>
      <c r="AP43" s="41"/>
      <c r="AQ43" s="39"/>
      <c r="AR43" s="37"/>
      <c r="AS43" s="37"/>
      <c r="AT43" s="37"/>
      <c r="AU43" s="37"/>
      <c r="AV43" s="40"/>
      <c r="AW43" s="40"/>
      <c r="AX43" s="40"/>
      <c r="AY43" s="40"/>
      <c r="AZ43" s="41"/>
      <c r="BA43" s="37"/>
      <c r="BB43" s="37"/>
      <c r="BC43" s="37"/>
      <c r="BD43" s="17"/>
      <c r="BE43" s="23"/>
      <c r="BF43" s="23"/>
      <c r="BG43" s="18"/>
    </row>
    <row r="44" spans="2:59" ht="12.6" customHeight="1">
      <c r="B44" s="230"/>
      <c r="C44" s="37"/>
      <c r="D44" s="37"/>
      <c r="E44" s="37"/>
      <c r="F44" s="37"/>
      <c r="G44" s="37"/>
      <c r="H44" s="186">
        <f>SUM(K45:K50)</f>
        <v>1456.03917484</v>
      </c>
      <c r="I44" s="186"/>
      <c r="J44" s="186"/>
      <c r="K44" s="231"/>
      <c r="L44" s="37"/>
      <c r="M44" s="37"/>
      <c r="N44" s="37"/>
      <c r="S44" s="37"/>
      <c r="T44" s="37"/>
      <c r="AA44" s="37"/>
      <c r="AB44" s="37"/>
      <c r="AC44" s="37"/>
      <c r="AD44" s="37"/>
      <c r="AE44" s="37"/>
      <c r="AF44" s="37"/>
      <c r="AG44" s="375">
        <f>SUM(AJ45:AJ51)</f>
        <v>1555.37825157</v>
      </c>
      <c r="AH44" s="376"/>
      <c r="AI44" s="376"/>
      <c r="AJ44" s="377"/>
      <c r="AK44" s="37"/>
      <c r="AL44" s="37"/>
      <c r="AM44" s="40"/>
      <c r="AN44" s="40"/>
      <c r="AO44" s="40"/>
      <c r="AP44" s="41"/>
      <c r="AQ44" s="39"/>
      <c r="AR44" s="37"/>
      <c r="AS44" s="37"/>
      <c r="AT44" s="37"/>
      <c r="AU44" s="37"/>
      <c r="AV44" s="40"/>
      <c r="AW44" s="40"/>
      <c r="AX44" s="40"/>
      <c r="AY44" s="40"/>
      <c r="AZ44" s="41"/>
      <c r="BA44" s="37"/>
      <c r="BB44" s="37"/>
      <c r="BC44" s="37"/>
      <c r="BD44" s="17"/>
      <c r="BE44" s="23"/>
      <c r="BF44" s="23"/>
      <c r="BG44" s="18"/>
    </row>
    <row r="45" spans="2:59" ht="12.6" customHeight="1">
      <c r="B45" s="230"/>
      <c r="C45" s="37"/>
      <c r="D45" s="37"/>
      <c r="E45" s="37"/>
      <c r="F45" s="37"/>
      <c r="G45" s="37"/>
      <c r="H45" s="72" t="s">
        <v>17</v>
      </c>
      <c r="I45" s="73"/>
      <c r="J45" s="74"/>
      <c r="K45" s="75">
        <v>38.330722000000002</v>
      </c>
      <c r="L45" s="37"/>
      <c r="M45" s="37"/>
      <c r="N45" s="37"/>
      <c r="S45" s="37"/>
      <c r="T45" s="37"/>
      <c r="AA45" s="37"/>
      <c r="AB45" s="37"/>
      <c r="AC45" s="37"/>
      <c r="AD45" s="37"/>
      <c r="AE45" s="37"/>
      <c r="AF45" s="37"/>
      <c r="AG45" s="378" t="s">
        <v>17</v>
      </c>
      <c r="AH45" s="379"/>
      <c r="AI45" s="379"/>
      <c r="AJ45" s="129">
        <v>42.032000400000001</v>
      </c>
      <c r="AK45" s="37"/>
      <c r="AL45" s="37"/>
      <c r="AM45" s="40"/>
      <c r="AN45" s="40"/>
      <c r="AO45" s="40"/>
      <c r="AP45" s="41"/>
      <c r="AQ45" s="39"/>
      <c r="AR45" s="37"/>
      <c r="AS45" s="37"/>
      <c r="AT45" s="37"/>
      <c r="AU45" s="37"/>
      <c r="AV45" s="40"/>
      <c r="AW45" s="40"/>
      <c r="AX45" s="40"/>
      <c r="AY45" s="40"/>
      <c r="AZ45" s="41"/>
      <c r="BA45" s="37"/>
      <c r="BB45" s="37"/>
      <c r="BC45" s="37"/>
      <c r="BD45" s="17"/>
      <c r="BE45" s="23"/>
      <c r="BF45" s="23"/>
      <c r="BG45" s="18"/>
    </row>
    <row r="46" spans="2:59" ht="12.6" customHeight="1">
      <c r="B46" s="230"/>
      <c r="C46" s="37"/>
      <c r="D46" s="37"/>
      <c r="E46" s="37"/>
      <c r="F46" s="37"/>
      <c r="G46" s="37"/>
      <c r="H46" s="72" t="s">
        <v>18</v>
      </c>
      <c r="I46" s="73"/>
      <c r="J46" s="74"/>
      <c r="K46" s="75">
        <v>549.41831119999995</v>
      </c>
      <c r="L46" s="37"/>
      <c r="M46" s="37"/>
      <c r="N46" s="37"/>
      <c r="S46" s="37"/>
      <c r="T46" s="37"/>
      <c r="AA46" s="37"/>
      <c r="AB46" s="37"/>
      <c r="AC46" s="37"/>
      <c r="AD46" s="37"/>
      <c r="AE46" s="37"/>
      <c r="AF46" s="37"/>
      <c r="AG46" s="380" t="s">
        <v>18</v>
      </c>
      <c r="AH46" s="381"/>
      <c r="AI46" s="381"/>
      <c r="AJ46" s="129">
        <v>386.09922879999999</v>
      </c>
      <c r="AK46" s="37"/>
      <c r="AL46" s="37"/>
      <c r="AM46" s="40"/>
      <c r="AN46" s="40"/>
      <c r="AO46" s="40"/>
      <c r="AP46" s="41"/>
      <c r="AQ46" s="39"/>
      <c r="AR46" s="37"/>
      <c r="AS46" s="37"/>
      <c r="AT46" s="37"/>
      <c r="AU46" s="37"/>
      <c r="AV46" s="40"/>
      <c r="AW46" s="40"/>
      <c r="AX46" s="40"/>
      <c r="AY46" s="40"/>
      <c r="AZ46" s="41"/>
      <c r="BA46" s="37"/>
      <c r="BB46" s="37"/>
      <c r="BC46" s="37"/>
      <c r="BD46" s="17"/>
      <c r="BE46" s="23"/>
      <c r="BF46" s="23"/>
      <c r="BG46" s="18"/>
    </row>
    <row r="47" spans="2:59" ht="12.6" customHeight="1">
      <c r="B47" s="230"/>
      <c r="C47" s="37"/>
      <c r="D47" s="37"/>
      <c r="E47" s="37"/>
      <c r="F47" s="37"/>
      <c r="G47" s="37"/>
      <c r="H47" s="72" t="s">
        <v>19</v>
      </c>
      <c r="I47" s="73"/>
      <c r="J47" s="74"/>
      <c r="K47" s="75">
        <v>48.04205864</v>
      </c>
      <c r="L47" s="37"/>
      <c r="M47" s="37"/>
      <c r="N47" s="37"/>
      <c r="S47" s="37"/>
      <c r="T47" s="37"/>
      <c r="AA47" s="37"/>
      <c r="AB47" s="37"/>
      <c r="AC47" s="37"/>
      <c r="AD47" s="37"/>
      <c r="AE47" s="37"/>
      <c r="AF47" s="37"/>
      <c r="AG47" s="378" t="s">
        <v>19</v>
      </c>
      <c r="AH47" s="379"/>
      <c r="AI47" s="379"/>
      <c r="AJ47" s="129">
        <v>57.945726569999998</v>
      </c>
      <c r="AK47" s="37"/>
      <c r="AL47" s="37"/>
      <c r="AM47" s="40"/>
      <c r="AN47" s="40"/>
      <c r="AO47" s="40"/>
      <c r="AP47" s="41"/>
      <c r="AQ47" s="39"/>
      <c r="AR47" s="37"/>
      <c r="AS47" s="37"/>
      <c r="AT47" s="37"/>
      <c r="AU47" s="37"/>
      <c r="AV47" s="40"/>
      <c r="AW47" s="40"/>
      <c r="AX47" s="40"/>
      <c r="AY47" s="40"/>
      <c r="AZ47" s="41"/>
      <c r="BA47" s="37"/>
      <c r="BB47" s="37"/>
      <c r="BC47" s="37"/>
      <c r="BD47" s="17"/>
      <c r="BE47" s="23"/>
      <c r="BF47" s="23"/>
      <c r="BG47" s="18"/>
    </row>
    <row r="48" spans="2:59" ht="12.6" customHeight="1">
      <c r="B48" s="230"/>
      <c r="C48" s="37"/>
      <c r="D48" s="37"/>
      <c r="E48" s="37"/>
      <c r="F48" s="37"/>
      <c r="G48" s="37"/>
      <c r="H48" s="72" t="s">
        <v>20</v>
      </c>
      <c r="I48" s="73"/>
      <c r="J48" s="74"/>
      <c r="K48" s="75">
        <v>200.46686500000001</v>
      </c>
      <c r="L48" s="37"/>
      <c r="M48" s="37"/>
      <c r="N48" s="37"/>
      <c r="S48" s="37"/>
      <c r="T48" s="37"/>
      <c r="AA48" s="37"/>
      <c r="AB48" s="37"/>
      <c r="AC48" s="37"/>
      <c r="AD48" s="37"/>
      <c r="AE48" s="37"/>
      <c r="AF48" s="37"/>
      <c r="AG48" s="380" t="s">
        <v>20</v>
      </c>
      <c r="AH48" s="381"/>
      <c r="AI48" s="381"/>
      <c r="AJ48" s="129">
        <v>266.19934979999999</v>
      </c>
      <c r="AK48" s="37"/>
      <c r="AL48" s="37"/>
      <c r="AM48" s="40"/>
      <c r="AN48" s="40"/>
      <c r="AO48" s="40"/>
      <c r="AP48" s="41"/>
      <c r="AQ48" s="39"/>
      <c r="AR48" s="37"/>
      <c r="AS48" s="37"/>
      <c r="AT48" s="37"/>
      <c r="AU48" s="37"/>
      <c r="AV48" s="40"/>
      <c r="AW48" s="40"/>
      <c r="AX48" s="40"/>
      <c r="AY48" s="40"/>
      <c r="AZ48" s="41"/>
      <c r="BA48" s="37"/>
      <c r="BB48" s="37"/>
      <c r="BC48" s="37"/>
      <c r="BD48" s="17"/>
      <c r="BE48" s="23"/>
      <c r="BF48" s="23"/>
      <c r="BG48" s="18"/>
    </row>
    <row r="49" spans="2:59" ht="12.6" customHeight="1">
      <c r="B49" s="230"/>
      <c r="C49" s="37"/>
      <c r="D49" s="37"/>
      <c r="E49" s="37"/>
      <c r="F49" s="37"/>
      <c r="G49" s="37"/>
      <c r="H49" s="72" t="s">
        <v>21</v>
      </c>
      <c r="I49" s="73"/>
      <c r="J49" s="74"/>
      <c r="K49" s="75">
        <v>491.69023099999998</v>
      </c>
      <c r="L49" s="37"/>
      <c r="M49" s="37"/>
      <c r="N49" s="37"/>
      <c r="S49" s="37"/>
      <c r="T49" s="37"/>
      <c r="AA49" s="37"/>
      <c r="AB49" s="37"/>
      <c r="AC49" s="37"/>
      <c r="AD49" s="37"/>
      <c r="AE49" s="37"/>
      <c r="AF49" s="37"/>
      <c r="AG49" s="380" t="s">
        <v>48</v>
      </c>
      <c r="AH49" s="381"/>
      <c r="AI49" s="381"/>
      <c r="AJ49" s="129">
        <v>50.215020000000003</v>
      </c>
      <c r="AK49" s="37"/>
      <c r="AL49" s="37"/>
      <c r="AM49" s="40"/>
      <c r="AN49" s="40"/>
      <c r="AO49" s="40"/>
      <c r="AP49" s="41"/>
      <c r="AQ49" s="39"/>
      <c r="AR49" s="37"/>
      <c r="AS49" s="37"/>
      <c r="AT49" s="37"/>
      <c r="AU49" s="37"/>
      <c r="AV49" s="40"/>
      <c r="AW49" s="40"/>
      <c r="AX49" s="40"/>
      <c r="AY49" s="40"/>
      <c r="AZ49" s="41"/>
      <c r="BA49" s="37"/>
      <c r="BB49" s="37"/>
      <c r="BC49" s="37"/>
      <c r="BD49" s="17"/>
      <c r="BE49" s="23"/>
      <c r="BF49" s="23"/>
      <c r="BG49" s="18"/>
    </row>
    <row r="50" spans="2:59" ht="12.6" customHeight="1">
      <c r="B50" s="230"/>
      <c r="C50" s="37"/>
      <c r="D50" s="37"/>
      <c r="E50" s="37"/>
      <c r="F50" s="37"/>
      <c r="G50" s="37"/>
      <c r="H50" s="72" t="s">
        <v>22</v>
      </c>
      <c r="I50" s="73"/>
      <c r="J50" s="74"/>
      <c r="K50" s="75">
        <v>128.09098700000001</v>
      </c>
      <c r="L50" s="37"/>
      <c r="M50" s="37"/>
      <c r="N50" s="37"/>
      <c r="S50" s="37"/>
      <c r="T50" s="37"/>
      <c r="AA50" s="37"/>
      <c r="AB50" s="37"/>
      <c r="AC50" s="37"/>
      <c r="AD50" s="37"/>
      <c r="AE50" s="37"/>
      <c r="AF50" s="37"/>
      <c r="AG50" s="380" t="s">
        <v>21</v>
      </c>
      <c r="AH50" s="381"/>
      <c r="AI50" s="381"/>
      <c r="AJ50" s="129">
        <v>620.62114899999995</v>
      </c>
      <c r="AK50" s="37"/>
      <c r="AL50" s="37"/>
      <c r="AM50" s="40"/>
      <c r="AN50" s="40"/>
      <c r="AO50" s="40"/>
      <c r="AP50" s="41"/>
      <c r="AQ50" s="39"/>
      <c r="AR50" s="37"/>
      <c r="AS50" s="37"/>
      <c r="AT50" s="37"/>
      <c r="AU50" s="37"/>
      <c r="AV50" s="40"/>
      <c r="AW50" s="40"/>
      <c r="AX50" s="40"/>
      <c r="AY50" s="40"/>
      <c r="AZ50" s="41"/>
      <c r="BA50" s="37"/>
      <c r="BB50" s="37"/>
      <c r="BC50" s="37"/>
      <c r="BD50" s="17"/>
      <c r="BE50" s="23"/>
      <c r="BF50" s="23"/>
      <c r="BG50" s="18"/>
    </row>
    <row r="51" spans="2:59" ht="12.6" customHeight="1">
      <c r="B51" s="230"/>
      <c r="C51" s="37"/>
      <c r="D51" s="37"/>
      <c r="E51" s="37"/>
      <c r="F51" s="37"/>
      <c r="G51" s="37"/>
      <c r="H51" s="76">
        <v>360.4383651</v>
      </c>
      <c r="I51" s="77">
        <v>360.4383651</v>
      </c>
      <c r="J51" s="77">
        <v>374.72407939999999</v>
      </c>
      <c r="K51" s="78">
        <v>360.4383651</v>
      </c>
      <c r="L51" s="37"/>
      <c r="M51" s="37"/>
      <c r="N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80" t="s">
        <v>22</v>
      </c>
      <c r="AH51" s="381"/>
      <c r="AI51" s="381"/>
      <c r="AJ51" s="129">
        <v>132.26577700000001</v>
      </c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17"/>
      <c r="BE51" s="23"/>
      <c r="BF51" s="23"/>
      <c r="BG51" s="18"/>
    </row>
    <row r="52" spans="2:59" ht="12.6" customHeight="1">
      <c r="B52" s="230"/>
      <c r="C52" s="37"/>
      <c r="D52" s="37"/>
      <c r="E52" s="37"/>
      <c r="F52" s="37"/>
      <c r="G52" s="37"/>
      <c r="M52" s="37"/>
      <c r="N52" s="37"/>
      <c r="S52"/>
      <c r="T52" s="37"/>
      <c r="U52" s="40"/>
      <c r="V52" s="40"/>
      <c r="W52" s="41"/>
      <c r="X52" s="37"/>
      <c r="Y52" s="37"/>
      <c r="Z52" s="37"/>
      <c r="AA52" s="37"/>
      <c r="AB52" s="37"/>
      <c r="AC52" s="37"/>
      <c r="AD52" s="37"/>
      <c r="AE52" s="37"/>
      <c r="AF52" s="37"/>
      <c r="AG52" s="382">
        <v>388.84456290000003</v>
      </c>
      <c r="AH52" s="363">
        <v>388.84456290000003</v>
      </c>
      <c r="AI52" s="363">
        <v>388.84456290000003</v>
      </c>
      <c r="AJ52" s="383">
        <v>388.84456290000003</v>
      </c>
      <c r="AM52" s="40"/>
      <c r="AN52" s="40"/>
      <c r="AO52" s="40"/>
      <c r="AP52" s="41"/>
      <c r="AQ52" s="42"/>
      <c r="AR52" s="42"/>
      <c r="AS52" s="42"/>
      <c r="AT52" s="42"/>
      <c r="AU52" s="42"/>
      <c r="AV52" s="40"/>
      <c r="AW52" s="40"/>
      <c r="AX52" s="40"/>
      <c r="AY52" s="40"/>
      <c r="AZ52" s="41"/>
      <c r="BA52" s="37"/>
      <c r="BB52" s="37"/>
      <c r="BC52" s="37"/>
      <c r="BD52" s="17"/>
      <c r="BE52" s="23"/>
      <c r="BF52" s="23"/>
      <c r="BG52" s="18"/>
    </row>
    <row r="53" spans="2:59" s="13" customFormat="1" ht="12.6" customHeight="1">
      <c r="B53" s="230"/>
      <c r="C53" s="42"/>
      <c r="D53" s="42"/>
      <c r="E53" s="42"/>
      <c r="F53" s="42"/>
      <c r="G53" s="42"/>
      <c r="H53" s="43"/>
      <c r="I53" s="113"/>
      <c r="J53" s="113"/>
      <c r="K53" s="113"/>
      <c r="L53" s="113"/>
      <c r="M53" s="44"/>
      <c r="N53" s="44"/>
      <c r="O53" s="44"/>
      <c r="P53"/>
      <c r="Q53"/>
      <c r="R53"/>
      <c r="S53"/>
      <c r="T53" s="42"/>
      <c r="U53" s="44"/>
      <c r="V53" s="44"/>
      <c r="W53" s="44"/>
      <c r="X53" s="42"/>
      <c r="Y53" s="42"/>
      <c r="Z53" s="42"/>
      <c r="AA53" s="42"/>
      <c r="AB53" s="44"/>
      <c r="AC53" s="44"/>
      <c r="AD53" s="44"/>
      <c r="AE53" s="44"/>
      <c r="AF53" s="44"/>
      <c r="AG53" s="44"/>
      <c r="AH53" s="44"/>
      <c r="AI53" s="44"/>
      <c r="AJ53" s="113"/>
      <c r="AK53" s="113"/>
      <c r="AL53" s="113"/>
      <c r="AM53" s="44"/>
      <c r="AN53" s="44"/>
      <c r="AO53" s="44"/>
      <c r="AP53" s="44"/>
      <c r="AQ53" s="42"/>
      <c r="AR53" s="42"/>
      <c r="AS53" s="42"/>
      <c r="AT53" s="42"/>
      <c r="AU53" s="42"/>
      <c r="AV53" s="44"/>
      <c r="AW53" s="44"/>
      <c r="AX53" s="44"/>
      <c r="AY53" s="44"/>
      <c r="AZ53" s="44"/>
      <c r="BA53" s="42"/>
      <c r="BB53" s="42"/>
      <c r="BC53" s="42"/>
      <c r="BD53" s="221">
        <f>SUM(C33:BC33, C44:BC44)</f>
        <v>6431.2906972099991</v>
      </c>
      <c r="BE53" s="168"/>
      <c r="BF53" s="168"/>
      <c r="BG53" s="222"/>
    </row>
    <row r="54" spans="2:59" ht="12.6" customHeight="1">
      <c r="B54" s="12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11"/>
      <c r="BD54" s="19"/>
      <c r="BE54" s="20"/>
      <c r="BF54" s="20"/>
      <c r="BG54" s="21"/>
    </row>
    <row r="55" spans="2:59" ht="12.6" customHeight="1">
      <c r="B55" s="224" t="s">
        <v>29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149"/>
      <c r="BE55" s="150"/>
      <c r="BF55" s="150"/>
      <c r="BG55" s="151"/>
    </row>
    <row r="56" spans="2:59" ht="12.6" customHeight="1">
      <c r="B56" s="225"/>
      <c r="C56" s="36"/>
      <c r="D56" s="36"/>
      <c r="E56" s="36"/>
      <c r="F56" s="36"/>
      <c r="G56" s="36"/>
      <c r="M56" s="36"/>
      <c r="N56" s="36"/>
      <c r="O56"/>
      <c r="P56"/>
      <c r="Q56"/>
      <c r="R56"/>
      <c r="S56"/>
      <c r="T56" s="36"/>
      <c r="U56" s="36"/>
      <c r="V56" s="212" t="s">
        <v>30</v>
      </c>
      <c r="W56" s="213"/>
      <c r="X56" s="213"/>
      <c r="Y56" s="213"/>
      <c r="Z56" s="214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212" t="s">
        <v>30</v>
      </c>
      <c r="AL56" s="213"/>
      <c r="AM56" s="214"/>
      <c r="AQ56"/>
      <c r="AR56" s="36"/>
      <c r="AS56" s="36"/>
      <c r="AT56" s="36"/>
      <c r="AU56" s="36"/>
      <c r="AV56" s="212" t="s">
        <v>30</v>
      </c>
      <c r="AW56" s="213"/>
      <c r="AX56" s="214"/>
      <c r="AY56"/>
      <c r="AZ56" s="47"/>
      <c r="BA56" s="47"/>
      <c r="BB56" s="47"/>
      <c r="BC56" s="36"/>
      <c r="BD56" s="149"/>
      <c r="BE56" s="150"/>
      <c r="BF56" s="150"/>
      <c r="BG56" s="151"/>
    </row>
    <row r="57" spans="2:59" ht="12.6" customHeight="1">
      <c r="B57" s="225"/>
      <c r="C57" s="36"/>
      <c r="D57" s="36"/>
      <c r="E57" s="36"/>
      <c r="F57" s="36"/>
      <c r="G57" s="36"/>
      <c r="M57" s="36"/>
      <c r="N57" s="36"/>
      <c r="O57"/>
      <c r="P57"/>
      <c r="Q57"/>
      <c r="R57"/>
      <c r="S57"/>
      <c r="T57" s="36"/>
      <c r="U57" s="36"/>
      <c r="V57" s="187">
        <f>SUM(Z58:Z63)</f>
        <v>1760.6938294000001</v>
      </c>
      <c r="W57" s="274"/>
      <c r="X57" s="274"/>
      <c r="Y57" s="274"/>
      <c r="Z57" s="275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218">
        <f>SUM(AM58:AM63)</f>
        <v>1382.7656731</v>
      </c>
      <c r="AL57" s="219"/>
      <c r="AM57" s="220"/>
      <c r="AQ57"/>
      <c r="AR57" s="36"/>
      <c r="AS57" s="36"/>
      <c r="AT57" s="36"/>
      <c r="AU57" s="36"/>
      <c r="AV57" s="215">
        <f>SUM(AX58:AX63)</f>
        <v>1061.7473307</v>
      </c>
      <c r="AW57" s="216"/>
      <c r="AX57" s="217"/>
      <c r="AY57"/>
      <c r="AZ57" s="42"/>
      <c r="BA57" s="42"/>
      <c r="BB57" s="42"/>
      <c r="BC57" s="36"/>
      <c r="BD57" s="149"/>
      <c r="BE57" s="150"/>
      <c r="BF57" s="150"/>
      <c r="BG57" s="151"/>
    </row>
    <row r="58" spans="2:59" ht="12.6" customHeight="1">
      <c r="B58" s="225"/>
      <c r="C58" s="36"/>
      <c r="D58" s="36"/>
      <c r="E58" s="36"/>
      <c r="F58" s="36"/>
      <c r="G58" s="36"/>
      <c r="M58" s="36"/>
      <c r="N58" s="36"/>
      <c r="O58" s="36"/>
      <c r="P58" s="36"/>
      <c r="Q58" s="36"/>
      <c r="R58" s="36"/>
      <c r="S58" s="36"/>
      <c r="T58" s="36"/>
      <c r="U58" s="36"/>
      <c r="V58" s="83" t="s">
        <v>17</v>
      </c>
      <c r="W58" s="73"/>
      <c r="X58" s="73"/>
      <c r="Y58" s="73"/>
      <c r="Z58" s="84">
        <v>33</v>
      </c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4" t="s">
        <v>17</v>
      </c>
      <c r="AL58" s="365"/>
      <c r="AM58" s="88">
        <v>26.1</v>
      </c>
      <c r="AQ58" s="36"/>
      <c r="AR58" s="36"/>
      <c r="AS58" s="36"/>
      <c r="AT58" s="36"/>
      <c r="AU58" s="36"/>
      <c r="AV58" s="366" t="s">
        <v>17</v>
      </c>
      <c r="AW58" s="342"/>
      <c r="AX58" s="88">
        <v>26.1</v>
      </c>
      <c r="AY58" s="36"/>
      <c r="AZ58" s="36"/>
      <c r="BA58" s="36"/>
      <c r="BB58" s="36"/>
      <c r="BC58" s="36"/>
      <c r="BD58" s="149"/>
      <c r="BE58" s="150"/>
      <c r="BF58" s="150"/>
      <c r="BG58" s="151"/>
    </row>
    <row r="59" spans="2:59" ht="12.6" customHeight="1">
      <c r="B59" s="225"/>
      <c r="C59" s="36"/>
      <c r="D59" s="36"/>
      <c r="E59" s="36"/>
      <c r="F59" s="36"/>
      <c r="G59" s="36"/>
      <c r="M59" s="36"/>
      <c r="N59" s="36"/>
      <c r="O59" s="36"/>
      <c r="P59" s="36"/>
      <c r="Q59" s="36"/>
      <c r="R59" s="36"/>
      <c r="S59" s="36"/>
      <c r="T59" s="36"/>
      <c r="U59" s="36"/>
      <c r="V59" s="83" t="s">
        <v>18</v>
      </c>
      <c r="W59" s="73"/>
      <c r="X59" s="73"/>
      <c r="Y59" s="73"/>
      <c r="Z59" s="84">
        <v>123.786631</v>
      </c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7" t="s">
        <v>18</v>
      </c>
      <c r="AL59" s="368"/>
      <c r="AM59" s="88">
        <v>438.87082199999998</v>
      </c>
      <c r="AQ59" s="36"/>
      <c r="AR59" s="36"/>
      <c r="AS59" s="36"/>
      <c r="AT59" s="36"/>
      <c r="AU59" s="36"/>
      <c r="AV59" s="369" t="s">
        <v>18</v>
      </c>
      <c r="AW59" s="344"/>
      <c r="AX59" s="88">
        <v>239.60844349999999</v>
      </c>
      <c r="AY59" s="36"/>
      <c r="AZ59" s="36"/>
      <c r="BA59" s="36"/>
      <c r="BB59" s="36"/>
      <c r="BC59" s="36"/>
      <c r="BD59" s="149"/>
      <c r="BE59" s="150"/>
      <c r="BF59" s="150"/>
      <c r="BG59" s="151"/>
    </row>
    <row r="60" spans="2:59" ht="12.6" customHeight="1">
      <c r="B60" s="225"/>
      <c r="C60" s="36"/>
      <c r="D60" s="36"/>
      <c r="E60" s="36"/>
      <c r="F60" s="36"/>
      <c r="G60" s="36"/>
      <c r="M60" s="36"/>
      <c r="N60" s="36"/>
      <c r="O60" s="36"/>
      <c r="P60" s="36"/>
      <c r="Q60" s="36"/>
      <c r="R60" s="36"/>
      <c r="S60" s="36"/>
      <c r="T60" s="36"/>
      <c r="U60" s="36"/>
      <c r="V60" s="83" t="s">
        <v>19</v>
      </c>
      <c r="W60" s="73"/>
      <c r="X60" s="73"/>
      <c r="Y60" s="73"/>
      <c r="Z60" s="84">
        <v>118.9154424</v>
      </c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4" t="s">
        <v>19</v>
      </c>
      <c r="AL60" s="365"/>
      <c r="AM60" s="88">
        <v>49.254849399999998</v>
      </c>
      <c r="AQ60" s="36"/>
      <c r="AR60" s="36"/>
      <c r="AS60" s="36"/>
      <c r="AT60" s="36"/>
      <c r="AU60" s="36"/>
      <c r="AV60" s="366" t="s">
        <v>19</v>
      </c>
      <c r="AW60" s="342"/>
      <c r="AX60" s="88">
        <v>43.5</v>
      </c>
      <c r="AY60" s="36"/>
      <c r="AZ60" s="36"/>
      <c r="BA60" s="36"/>
      <c r="BB60" s="36"/>
      <c r="BC60" s="36"/>
      <c r="BD60" s="149"/>
      <c r="BE60" s="150"/>
      <c r="BF60" s="150"/>
      <c r="BG60" s="151"/>
    </row>
    <row r="61" spans="2:59" ht="12.6" customHeight="1">
      <c r="B61" s="225"/>
      <c r="C61" s="36"/>
      <c r="D61" s="36"/>
      <c r="E61" s="36"/>
      <c r="F61" s="36"/>
      <c r="G61" s="36"/>
      <c r="M61" s="36"/>
      <c r="N61" s="36"/>
      <c r="O61" s="36"/>
      <c r="P61" s="36"/>
      <c r="Q61" s="36"/>
      <c r="R61" s="36"/>
      <c r="S61" s="36"/>
      <c r="T61" s="36"/>
      <c r="U61" s="36"/>
      <c r="V61" s="83" t="s">
        <v>20</v>
      </c>
      <c r="W61" s="73"/>
      <c r="X61" s="73"/>
      <c r="Y61" s="73"/>
      <c r="Z61" s="84">
        <v>428.99175600000001</v>
      </c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7" t="s">
        <v>20</v>
      </c>
      <c r="AL61" s="368"/>
      <c r="AM61" s="88">
        <v>264.41893900000002</v>
      </c>
      <c r="AQ61" s="36"/>
      <c r="AR61" s="36"/>
      <c r="AS61" s="36"/>
      <c r="AT61" s="36"/>
      <c r="AU61" s="36"/>
      <c r="AV61" s="369" t="s">
        <v>20</v>
      </c>
      <c r="AW61" s="344"/>
      <c r="AX61" s="88">
        <v>187.73549819999999</v>
      </c>
      <c r="AY61" s="36"/>
      <c r="AZ61" s="36"/>
      <c r="BA61" s="36"/>
      <c r="BB61" s="36"/>
      <c r="BC61" s="36"/>
      <c r="BD61" s="149"/>
      <c r="BE61" s="150"/>
      <c r="BF61" s="150"/>
      <c r="BG61" s="151"/>
    </row>
    <row r="62" spans="2:59" ht="12.6" customHeight="1">
      <c r="B62" s="225"/>
      <c r="C62" s="36"/>
      <c r="D62" s="36"/>
      <c r="E62" s="36"/>
      <c r="F62" s="36"/>
      <c r="G62" s="36"/>
      <c r="M62" s="36"/>
      <c r="N62" s="36"/>
      <c r="O62" s="36"/>
      <c r="P62" s="36"/>
      <c r="Q62" s="36"/>
      <c r="R62" s="36"/>
      <c r="S62" s="36"/>
      <c r="T62" s="36"/>
      <c r="U62" s="36"/>
      <c r="V62" s="83" t="s">
        <v>21</v>
      </c>
      <c r="W62" s="73"/>
      <c r="X62" s="73"/>
      <c r="Y62" s="73"/>
      <c r="Z62" s="84">
        <v>858</v>
      </c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7" t="s">
        <v>21</v>
      </c>
      <c r="AL62" s="368"/>
      <c r="AM62" s="88">
        <v>452.4</v>
      </c>
      <c r="AQ62" s="36"/>
      <c r="AR62" s="36"/>
      <c r="AS62" s="36"/>
      <c r="AT62" s="36"/>
      <c r="AU62" s="36"/>
      <c r="AV62" s="369" t="s">
        <v>21</v>
      </c>
      <c r="AW62" s="344"/>
      <c r="AX62" s="88">
        <v>413.08232600000002</v>
      </c>
      <c r="AY62" s="36"/>
      <c r="AZ62" s="36"/>
      <c r="BA62" s="36"/>
      <c r="BB62" s="36"/>
      <c r="BC62" s="36"/>
      <c r="BD62" s="149"/>
      <c r="BE62" s="150"/>
      <c r="BF62" s="150"/>
      <c r="BG62" s="151"/>
    </row>
    <row r="63" spans="2:59" ht="12.6" customHeight="1">
      <c r="B63" s="225"/>
      <c r="C63" s="36"/>
      <c r="D63" s="36"/>
      <c r="E63" s="36"/>
      <c r="F63" s="36"/>
      <c r="G63" s="36"/>
      <c r="M63" s="36"/>
      <c r="N63" s="36"/>
      <c r="O63" s="36"/>
      <c r="P63" s="36"/>
      <c r="Q63" s="36"/>
      <c r="R63" s="36"/>
      <c r="S63" s="36"/>
      <c r="T63" s="36"/>
      <c r="U63" s="36"/>
      <c r="V63" s="83" t="s">
        <v>22</v>
      </c>
      <c r="W63" s="73"/>
      <c r="X63" s="73"/>
      <c r="Y63" s="73"/>
      <c r="Z63" s="84">
        <v>198</v>
      </c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7" t="s">
        <v>22</v>
      </c>
      <c r="AL63" s="368"/>
      <c r="AM63" s="88">
        <v>151.7210627</v>
      </c>
      <c r="AQ63" s="36"/>
      <c r="AR63" s="36"/>
      <c r="AS63" s="36"/>
      <c r="AT63" s="36"/>
      <c r="AU63" s="36"/>
      <c r="AV63" s="369" t="s">
        <v>22</v>
      </c>
      <c r="AW63" s="344"/>
      <c r="AX63" s="88">
        <v>151.72106299999999</v>
      </c>
      <c r="AY63" s="36"/>
      <c r="AZ63" s="36"/>
      <c r="BA63" s="36"/>
      <c r="BB63" s="36"/>
      <c r="BC63" s="36"/>
      <c r="BD63" s="149"/>
      <c r="BE63" s="150"/>
      <c r="BF63" s="150"/>
      <c r="BG63" s="151"/>
    </row>
    <row r="64" spans="2:59" ht="12.6" customHeight="1">
      <c r="B64" s="225"/>
      <c r="C64" s="36"/>
      <c r="D64" s="36"/>
      <c r="E64" s="36"/>
      <c r="F64" s="36"/>
      <c r="G64" s="36"/>
      <c r="M64" s="36"/>
      <c r="N64" s="36"/>
      <c r="O64" s="36"/>
      <c r="P64" s="36"/>
      <c r="Q64" s="36"/>
      <c r="R64" s="36"/>
      <c r="S64" s="36"/>
      <c r="T64" s="36"/>
      <c r="U64" s="36"/>
      <c r="V64" s="85">
        <v>342.47060349999998</v>
      </c>
      <c r="W64" s="86">
        <v>390.81138650000003</v>
      </c>
      <c r="X64" s="86">
        <v>342.47060349999998</v>
      </c>
      <c r="Y64" s="86">
        <v>342.47060349999998</v>
      </c>
      <c r="Z64" s="87">
        <v>342.47060349999998</v>
      </c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89">
        <v>460.92186770000001</v>
      </c>
      <c r="AL64" s="90">
        <v>460.92186770000001</v>
      </c>
      <c r="AM64" s="91">
        <v>460.92186770000001</v>
      </c>
      <c r="AQ64" s="36"/>
      <c r="AR64" s="36"/>
      <c r="AS64" s="36"/>
      <c r="AT64" s="36"/>
      <c r="AU64" s="36"/>
      <c r="AV64" s="89">
        <v>353.91577690000003</v>
      </c>
      <c r="AW64" s="90">
        <v>353.91577690000003</v>
      </c>
      <c r="AX64" s="91">
        <v>353.91577690000003</v>
      </c>
      <c r="AY64" s="36"/>
      <c r="AZ64" s="36"/>
      <c r="BA64" s="36"/>
      <c r="BB64" s="36"/>
      <c r="BC64" s="36"/>
      <c r="BD64" s="149"/>
      <c r="BE64" s="150"/>
      <c r="BF64" s="150"/>
      <c r="BG64" s="151"/>
    </row>
    <row r="65" spans="2:59" ht="12.6" customHeight="1">
      <c r="B65" s="225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221">
        <f>SUM(C57:BC57)</f>
        <v>4205.2068331999999</v>
      </c>
      <c r="BE65" s="168"/>
      <c r="BF65" s="168"/>
      <c r="BG65" s="222"/>
    </row>
    <row r="66" spans="2:59" ht="15.6">
      <c r="B66" s="12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19"/>
      <c r="BE66" s="20"/>
      <c r="BF66" s="20"/>
      <c r="BG66" s="21"/>
    </row>
    <row r="67" spans="2:59" ht="12.6" customHeight="1">
      <c r="B67" s="258" t="s">
        <v>31</v>
      </c>
      <c r="C67" s="110"/>
      <c r="I67" s="14"/>
      <c r="J67" s="14"/>
      <c r="K67" s="14"/>
      <c r="L67" s="14"/>
      <c r="M67" s="116"/>
      <c r="N67" s="116"/>
      <c r="O67" s="116"/>
      <c r="P67" s="116"/>
      <c r="Q67" s="116"/>
      <c r="R67" s="116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6"/>
      <c r="AF67" s="116"/>
      <c r="AG67" s="116"/>
      <c r="AH67" s="116"/>
      <c r="AI67" s="117"/>
      <c r="AJ67" s="117"/>
      <c r="AK67" s="117"/>
      <c r="AL67" s="117"/>
      <c r="AM67" s="117"/>
      <c r="AN67" s="117"/>
      <c r="AO67" s="117"/>
      <c r="AP67" s="117"/>
      <c r="AQ67" s="118"/>
      <c r="AR67" s="118"/>
      <c r="AS67" s="118"/>
      <c r="AT67" s="118"/>
      <c r="AU67" s="118"/>
      <c r="AV67" s="14"/>
      <c r="AW67" s="14"/>
      <c r="AX67" s="14"/>
      <c r="AY67" s="14"/>
      <c r="AZ67" s="14"/>
      <c r="BA67" s="14"/>
      <c r="BB67" s="14"/>
      <c r="BC67" s="14"/>
      <c r="BD67" s="17"/>
      <c r="BE67" s="23"/>
      <c r="BF67" s="23"/>
      <c r="BG67" s="18"/>
    </row>
    <row r="68" spans="2:59" ht="12.6" customHeight="1">
      <c r="B68" s="259"/>
      <c r="C68" s="110"/>
      <c r="D68" s="261" t="s">
        <v>32</v>
      </c>
      <c r="E68" s="262"/>
      <c r="F68" s="262"/>
      <c r="G68" s="262"/>
      <c r="H68" s="263"/>
      <c r="J68" s="384" t="s">
        <v>33</v>
      </c>
      <c r="K68" s="385"/>
      <c r="L68" s="386"/>
      <c r="M68" s="140"/>
      <c r="O68" s="46"/>
      <c r="P68" s="119"/>
      <c r="T68" s="276" t="s">
        <v>34</v>
      </c>
      <c r="U68" s="208"/>
      <c r="V68" s="208"/>
      <c r="W68" s="209"/>
      <c r="X68" s="113"/>
      <c r="Y68" s="113"/>
      <c r="Z68" s="113"/>
      <c r="AA68" s="48"/>
      <c r="AB68" s="48"/>
      <c r="AC68" s="48"/>
      <c r="AD68" s="48"/>
      <c r="AE68" s="48"/>
      <c r="AJ68"/>
      <c r="AM68" s="276" t="s">
        <v>35</v>
      </c>
      <c r="AN68" s="208"/>
      <c r="AO68" s="208"/>
      <c r="AP68" s="209"/>
      <c r="AQ68" s="247" t="s">
        <v>36</v>
      </c>
      <c r="AR68" s="248"/>
      <c r="AS68" s="248"/>
      <c r="AT68" s="249"/>
      <c r="AW68" s="48"/>
      <c r="AX68" s="48"/>
      <c r="AY68" s="48"/>
      <c r="BD68" s="17"/>
      <c r="BE68" s="23"/>
      <c r="BF68" s="23"/>
      <c r="BG68" s="18"/>
    </row>
    <row r="69" spans="2:59" ht="12.6" customHeight="1">
      <c r="B69" s="259"/>
      <c r="C69" s="110"/>
      <c r="D69" s="272">
        <f>SUM(H70:H74)</f>
        <v>1122.3434494999999</v>
      </c>
      <c r="E69" s="210"/>
      <c r="F69" s="210"/>
      <c r="G69" s="210"/>
      <c r="H69" s="273"/>
      <c r="J69" s="375">
        <f>SUM(L70:L74)</f>
        <v>750</v>
      </c>
      <c r="K69" s="376"/>
      <c r="L69" s="377"/>
      <c r="M69" s="119"/>
      <c r="O69" s="42"/>
      <c r="P69" s="24"/>
      <c r="T69" s="244">
        <f>SUM(W70:W74)</f>
        <v>1120</v>
      </c>
      <c r="U69" s="245"/>
      <c r="V69" s="245"/>
      <c r="W69" s="246"/>
      <c r="X69" s="113"/>
      <c r="Y69" s="113"/>
      <c r="Z69" s="113"/>
      <c r="AA69" s="42"/>
      <c r="AB69" s="42"/>
      <c r="AC69" s="42"/>
      <c r="AD69" s="42"/>
      <c r="AE69" s="42"/>
      <c r="AJ69"/>
      <c r="AM69" s="244">
        <f>SUM(AP70:AP74)</f>
        <v>1000</v>
      </c>
      <c r="AN69" s="245"/>
      <c r="AO69" s="245"/>
      <c r="AP69" s="246"/>
      <c r="AQ69" s="187">
        <f>SUM(AT70:AT75)</f>
        <v>1516.6958696900001</v>
      </c>
      <c r="AR69" s="186"/>
      <c r="AS69" s="186"/>
      <c r="AT69" s="239"/>
      <c r="AW69" s="42"/>
      <c r="AX69" s="42"/>
      <c r="AY69" s="42"/>
      <c r="BD69" s="17"/>
      <c r="BE69" s="23"/>
      <c r="BF69" s="23"/>
      <c r="BG69" s="18"/>
    </row>
    <row r="70" spans="2:59" ht="12.6" customHeight="1">
      <c r="B70" s="259"/>
      <c r="C70" s="110"/>
      <c r="D70" s="83" t="s">
        <v>18</v>
      </c>
      <c r="E70" s="92"/>
      <c r="F70" s="92"/>
      <c r="G70" s="92"/>
      <c r="H70" s="84">
        <v>224.46868989999999</v>
      </c>
      <c r="J70" s="357" t="s">
        <v>20</v>
      </c>
      <c r="K70" s="359"/>
      <c r="L70" s="129">
        <v>120</v>
      </c>
      <c r="O70" s="25"/>
      <c r="P70" s="25"/>
      <c r="Q70" s="25"/>
      <c r="R70" s="24"/>
      <c r="T70" s="72" t="s">
        <v>20</v>
      </c>
      <c r="U70" s="92"/>
      <c r="V70" s="92"/>
      <c r="W70" s="75">
        <v>179.2</v>
      </c>
      <c r="AE70" s="25"/>
      <c r="AM70" s="72" t="s">
        <v>20</v>
      </c>
      <c r="AN70" s="92"/>
      <c r="AO70" s="92"/>
      <c r="AP70" s="75">
        <v>160</v>
      </c>
      <c r="AQ70" s="83" t="s">
        <v>17</v>
      </c>
      <c r="AR70" s="73"/>
      <c r="AS70" s="74"/>
      <c r="AT70" s="84">
        <v>25.2</v>
      </c>
      <c r="AU70" s="33"/>
      <c r="BD70" s="17"/>
      <c r="BE70" s="23"/>
      <c r="BF70" s="23"/>
      <c r="BG70" s="18"/>
    </row>
    <row r="71" spans="2:59" ht="12.6" customHeight="1">
      <c r="B71" s="259"/>
      <c r="C71" s="110"/>
      <c r="D71" s="83" t="s">
        <v>20</v>
      </c>
      <c r="E71" s="73"/>
      <c r="F71" s="73"/>
      <c r="G71" s="73"/>
      <c r="H71" s="84">
        <v>157.12808290000001</v>
      </c>
      <c r="J71" s="357" t="s">
        <v>48</v>
      </c>
      <c r="K71" s="359"/>
      <c r="L71" s="129">
        <v>82.5</v>
      </c>
      <c r="O71" s="25"/>
      <c r="P71" s="25"/>
      <c r="Q71" s="25"/>
      <c r="R71" s="24"/>
      <c r="T71" s="72" t="s">
        <v>48</v>
      </c>
      <c r="U71" s="73"/>
      <c r="V71" s="73"/>
      <c r="W71" s="75">
        <v>123.2</v>
      </c>
      <c r="AE71" s="25"/>
      <c r="AM71" s="72" t="s">
        <v>48</v>
      </c>
      <c r="AN71" s="73"/>
      <c r="AO71" s="73"/>
      <c r="AP71" s="75">
        <v>110</v>
      </c>
      <c r="AQ71" s="83" t="s">
        <v>18</v>
      </c>
      <c r="AR71" s="73"/>
      <c r="AS71" s="74"/>
      <c r="AT71" s="84">
        <v>323.91414600000002</v>
      </c>
      <c r="AU71" s="33"/>
      <c r="BD71" s="17"/>
      <c r="BE71" s="23"/>
      <c r="BF71" s="23"/>
      <c r="BG71" s="18"/>
    </row>
    <row r="72" spans="2:59" ht="12.6" customHeight="1">
      <c r="B72" s="259"/>
      <c r="C72" s="110"/>
      <c r="D72" s="83" t="s">
        <v>48</v>
      </c>
      <c r="E72" s="92"/>
      <c r="F72" s="92"/>
      <c r="G72" s="92"/>
      <c r="H72" s="84">
        <v>101.01091049999999</v>
      </c>
      <c r="J72" s="357" t="s">
        <v>21</v>
      </c>
      <c r="K72" s="359"/>
      <c r="L72" s="129">
        <v>337.5</v>
      </c>
      <c r="O72" s="25"/>
      <c r="P72" s="25"/>
      <c r="Q72" s="25"/>
      <c r="R72" s="24"/>
      <c r="T72" s="93" t="s">
        <v>21</v>
      </c>
      <c r="U72" s="142"/>
      <c r="V72" s="142"/>
      <c r="W72" s="75">
        <v>504</v>
      </c>
      <c r="AE72" s="25"/>
      <c r="AM72" s="72" t="s">
        <v>21</v>
      </c>
      <c r="AN72" s="92"/>
      <c r="AO72" s="92"/>
      <c r="AP72" s="75">
        <v>450</v>
      </c>
      <c r="AQ72" s="83" t="s">
        <v>19</v>
      </c>
      <c r="AR72" s="73"/>
      <c r="AS72" s="74"/>
      <c r="AT72" s="84">
        <v>57.152301690000002</v>
      </c>
      <c r="AU72" s="33"/>
      <c r="BD72" s="17"/>
      <c r="BE72" s="23"/>
      <c r="BF72" s="23"/>
      <c r="BG72" s="18"/>
    </row>
    <row r="73" spans="2:59" ht="12.6" customHeight="1">
      <c r="B73" s="259"/>
      <c r="C73" s="110"/>
      <c r="D73" s="83" t="s">
        <v>21</v>
      </c>
      <c r="E73" s="92"/>
      <c r="F73" s="92"/>
      <c r="G73" s="92"/>
      <c r="H73" s="84">
        <v>482.60768330000002</v>
      </c>
      <c r="J73" s="357" t="s">
        <v>51</v>
      </c>
      <c r="K73" s="359"/>
      <c r="L73" s="129">
        <v>90</v>
      </c>
      <c r="O73" s="25"/>
      <c r="P73" s="25"/>
      <c r="Q73" s="25"/>
      <c r="R73" s="24"/>
      <c r="T73" s="380" t="s">
        <v>51</v>
      </c>
      <c r="U73" s="381"/>
      <c r="V73" s="381"/>
      <c r="W73" s="137">
        <v>134.4</v>
      </c>
      <c r="AE73" s="25"/>
      <c r="AM73" s="72" t="s">
        <v>51</v>
      </c>
      <c r="AN73" s="73"/>
      <c r="AO73" s="73"/>
      <c r="AP73" s="75">
        <v>120</v>
      </c>
      <c r="AQ73" s="83" t="s">
        <v>20</v>
      </c>
      <c r="AR73" s="73"/>
      <c r="AS73" s="74"/>
      <c r="AT73" s="84">
        <v>277.2</v>
      </c>
      <c r="AU73" s="33"/>
      <c r="BD73" s="17"/>
      <c r="BE73" s="23"/>
      <c r="BF73" s="23"/>
      <c r="BG73" s="18"/>
    </row>
    <row r="74" spans="2:59" ht="12.6" customHeight="1">
      <c r="B74" s="259"/>
      <c r="C74" s="110"/>
      <c r="D74" s="387" t="s">
        <v>22</v>
      </c>
      <c r="E74" s="156"/>
      <c r="F74" s="156"/>
      <c r="G74" s="156"/>
      <c r="H74" s="84">
        <v>157.12808290000001</v>
      </c>
      <c r="J74" s="357" t="s">
        <v>22</v>
      </c>
      <c r="K74" s="359"/>
      <c r="L74" s="129">
        <v>120</v>
      </c>
      <c r="O74" s="25"/>
      <c r="P74" s="25"/>
      <c r="Q74" s="25"/>
      <c r="R74" s="24"/>
      <c r="T74" s="380" t="s">
        <v>22</v>
      </c>
      <c r="U74" s="381"/>
      <c r="V74" s="381"/>
      <c r="W74" s="137">
        <v>179.2</v>
      </c>
      <c r="AE74" s="25"/>
      <c r="AM74" s="111" t="s">
        <v>22</v>
      </c>
      <c r="AN74" s="156"/>
      <c r="AO74" s="156"/>
      <c r="AP74" s="75">
        <v>160</v>
      </c>
      <c r="AQ74" s="83" t="s">
        <v>21</v>
      </c>
      <c r="AR74" s="73"/>
      <c r="AS74" s="74"/>
      <c r="AT74" s="84">
        <v>655.20000000000005</v>
      </c>
      <c r="AU74" s="33"/>
      <c r="BD74" s="17"/>
      <c r="BE74" s="23"/>
      <c r="BF74" s="23"/>
      <c r="BG74" s="18"/>
    </row>
    <row r="75" spans="2:59" ht="12.6" customHeight="1">
      <c r="B75" s="259"/>
      <c r="C75" s="110"/>
      <c r="D75" s="57">
        <v>240.5021678</v>
      </c>
      <c r="E75" s="58">
        <v>280.5858624</v>
      </c>
      <c r="F75" s="58">
        <v>280.5858624</v>
      </c>
      <c r="G75" s="58">
        <v>280.5858624</v>
      </c>
      <c r="H75" s="59">
        <v>40.083694629999997</v>
      </c>
      <c r="J75" s="51">
        <v>225</v>
      </c>
      <c r="K75" s="52">
        <v>262.5</v>
      </c>
      <c r="L75" s="53">
        <v>262.5</v>
      </c>
      <c r="O75" s="25"/>
      <c r="P75" s="25"/>
      <c r="Q75" s="25"/>
      <c r="R75" s="24"/>
      <c r="T75" s="138">
        <v>248.88888890000001</v>
      </c>
      <c r="U75" s="133">
        <v>290.37037040000001</v>
      </c>
      <c r="V75" s="133">
        <v>290.37037040000001</v>
      </c>
      <c r="W75" s="53">
        <v>290.37037040000001</v>
      </c>
      <c r="AE75" s="25"/>
      <c r="AM75" s="51">
        <v>222.2222222</v>
      </c>
      <c r="AN75" s="52">
        <v>259.2592593</v>
      </c>
      <c r="AO75" s="52">
        <v>259.2592593</v>
      </c>
      <c r="AP75" s="53">
        <v>259.2592593</v>
      </c>
      <c r="AQ75" s="83" t="s">
        <v>22</v>
      </c>
      <c r="AR75" s="73"/>
      <c r="AS75" s="74"/>
      <c r="AT75" s="84">
        <v>178.02942200000001</v>
      </c>
      <c r="AU75" s="33"/>
      <c r="BD75" s="17"/>
      <c r="BE75" s="23"/>
      <c r="BF75" s="23"/>
      <c r="BG75" s="18"/>
    </row>
    <row r="76" spans="2:59" ht="12.6" customHeight="1">
      <c r="B76" s="259"/>
      <c r="C76" s="110"/>
      <c r="D76"/>
      <c r="E76"/>
      <c r="F76"/>
      <c r="G76"/>
      <c r="H76"/>
      <c r="M76" s="25"/>
      <c r="N76" s="25"/>
      <c r="O76" s="25"/>
      <c r="P76" s="25"/>
      <c r="Q76" s="25"/>
      <c r="R76" s="24"/>
      <c r="AE76" s="25"/>
      <c r="AF76" s="25"/>
      <c r="AG76" s="25"/>
      <c r="AH76" s="24"/>
      <c r="AQ76" s="85">
        <v>370.349287</v>
      </c>
      <c r="AR76" s="86">
        <v>370.349287</v>
      </c>
      <c r="AS76" s="86">
        <v>397.06147490000001</v>
      </c>
      <c r="AT76" s="87">
        <v>378.93582090000001</v>
      </c>
      <c r="AU76" s="33"/>
      <c r="BD76" s="17"/>
      <c r="BE76" s="23"/>
      <c r="BF76" s="23"/>
      <c r="BG76" s="18"/>
    </row>
    <row r="77" spans="2:59" ht="12.6" customHeight="1">
      <c r="B77" s="259"/>
      <c r="C77" s="110"/>
      <c r="M77" s="25"/>
      <c r="N77" s="25"/>
      <c r="O77" s="25"/>
      <c r="P77" s="25"/>
      <c r="Q77" s="25"/>
      <c r="R77" s="24"/>
      <c r="AE77" s="25"/>
      <c r="AF77" s="25"/>
      <c r="AG77" s="25"/>
      <c r="AH77" s="24"/>
      <c r="AQ77" s="32"/>
      <c r="AR77" s="32"/>
      <c r="AS77" s="32"/>
      <c r="AT77" s="32"/>
      <c r="AU77" s="33"/>
      <c r="BD77" s="168">
        <f>SUM(C69:BC69)</f>
        <v>5509.0393191900002</v>
      </c>
      <c r="BE77" s="195"/>
      <c r="BF77" s="195"/>
      <c r="BG77" s="196"/>
    </row>
    <row r="78" spans="2:59" ht="12.6" customHeight="1">
      <c r="B78" s="260"/>
      <c r="C78" s="240" t="s">
        <v>38</v>
      </c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  <c r="AA78" s="240"/>
      <c r="AB78" s="240"/>
      <c r="AC78" s="240"/>
      <c r="AD78" s="240"/>
      <c r="AE78" s="240"/>
      <c r="AF78" s="240"/>
      <c r="AG78" s="240"/>
      <c r="AH78" s="240"/>
      <c r="AI78" s="240"/>
      <c r="AJ78" s="240"/>
      <c r="AK78" s="240"/>
      <c r="AL78" s="240"/>
      <c r="AM78" s="240"/>
      <c r="AN78" s="240"/>
      <c r="AO78" s="240"/>
      <c r="AP78" s="240"/>
      <c r="AQ78" s="240"/>
      <c r="AR78" s="240"/>
      <c r="AS78" s="240"/>
      <c r="AT78" s="240"/>
      <c r="AU78" s="240"/>
      <c r="AV78" s="240"/>
      <c r="AW78" s="240"/>
      <c r="AX78" s="240"/>
      <c r="AY78" s="240"/>
      <c r="AZ78" s="240"/>
      <c r="BA78" s="240"/>
      <c r="BB78" s="240"/>
      <c r="BC78" s="270"/>
      <c r="BD78" s="205">
        <v>128.30000000000001</v>
      </c>
      <c r="BE78" s="206"/>
      <c r="BF78" s="206"/>
      <c r="BG78" s="207"/>
    </row>
    <row r="79" spans="2:59" ht="15" customHeight="1">
      <c r="B79" s="12"/>
      <c r="C79" s="106"/>
      <c r="D79" s="26" t="s">
        <v>39</v>
      </c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11"/>
      <c r="BD79" s="19">
        <v>0</v>
      </c>
      <c r="BE79" s="20"/>
      <c r="BF79" s="20"/>
      <c r="BG79" s="21"/>
    </row>
    <row r="80" spans="2:59" ht="12.6" customHeight="1">
      <c r="B80" s="241" t="s">
        <v>40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96"/>
      <c r="BE80" s="97"/>
      <c r="BF80" s="97"/>
      <c r="BG80" s="98"/>
    </row>
    <row r="81" spans="2:59" ht="12.6" customHeight="1">
      <c r="B81" s="242"/>
      <c r="C81" s="197" t="s">
        <v>41</v>
      </c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8"/>
      <c r="AT81" s="198"/>
      <c r="AU81" s="198"/>
      <c r="AV81" s="198"/>
      <c r="AW81" s="198"/>
      <c r="AX81" s="198"/>
      <c r="AY81" s="198"/>
      <c r="AZ81" s="198"/>
      <c r="BA81" s="198"/>
      <c r="BB81" s="198"/>
      <c r="BC81" s="271"/>
      <c r="BD81" s="202"/>
      <c r="BE81" s="203"/>
      <c r="BF81" s="203"/>
      <c r="BG81" s="204"/>
    </row>
    <row r="82" spans="2:59" ht="12.6" customHeight="1">
      <c r="B82" s="242"/>
      <c r="C82" s="197" t="s">
        <v>42</v>
      </c>
      <c r="D82" s="198" t="s">
        <v>42</v>
      </c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  <c r="AM82" s="198"/>
      <c r="AN82" s="198"/>
      <c r="AO82" s="198"/>
      <c r="AP82" s="198"/>
      <c r="AQ82" s="198"/>
      <c r="AR82" s="198"/>
      <c r="AS82" s="198"/>
      <c r="AT82" s="198"/>
      <c r="AU82" s="198"/>
      <c r="AV82" s="198"/>
      <c r="AW82" s="198"/>
      <c r="AX82" s="198"/>
      <c r="AY82" s="198"/>
      <c r="AZ82" s="198"/>
      <c r="BA82" s="198"/>
      <c r="BB82" s="198"/>
      <c r="BC82" s="271"/>
      <c r="BD82" s="205"/>
      <c r="BE82" s="206"/>
      <c r="BF82" s="206"/>
      <c r="BG82" s="207"/>
    </row>
    <row r="83" spans="2:59" ht="12.6" customHeight="1">
      <c r="B83" s="242"/>
      <c r="C83" s="197" t="s">
        <v>43</v>
      </c>
      <c r="D83" s="198" t="s">
        <v>43</v>
      </c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  <c r="AS83" s="198"/>
      <c r="AT83" s="198"/>
      <c r="AU83" s="198"/>
      <c r="AV83" s="198"/>
      <c r="AW83" s="198"/>
      <c r="AX83" s="198"/>
      <c r="AY83" s="198"/>
      <c r="AZ83" s="198"/>
      <c r="BA83" s="198"/>
      <c r="BB83" s="198"/>
      <c r="BC83" s="271"/>
      <c r="BD83" s="388">
        <v>3025.7</v>
      </c>
      <c r="BE83" s="237"/>
      <c r="BF83" s="237"/>
      <c r="BG83" s="238"/>
    </row>
    <row r="84" spans="2:59" ht="15.6">
      <c r="B84" s="12"/>
      <c r="C84" s="10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11"/>
      <c r="BD84" s="19"/>
      <c r="BE84" s="20"/>
      <c r="BF84" s="20"/>
      <c r="BG84" s="21"/>
    </row>
    <row r="85" spans="2:59" ht="15" customHeight="1" thickBot="1">
      <c r="B85" s="15" t="s">
        <v>44</v>
      </c>
      <c r="C85" s="107"/>
      <c r="D85" s="16"/>
      <c r="E85" s="1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168">
        <f>SUM(BD29,BD53,BD65,BD77,BD78,BD83,BD81,BD82)</f>
        <v>25922.481115499999</v>
      </c>
      <c r="BE85" s="195"/>
      <c r="BF85" s="195"/>
      <c r="BG85" s="196"/>
    </row>
    <row r="86" spans="2:59" ht="12" customHeight="1">
      <c r="B86" s="125" t="s">
        <v>45</v>
      </c>
    </row>
  </sheetData>
  <mergeCells count="104">
    <mergeCell ref="BD29:BG29"/>
    <mergeCell ref="BD53:BG53"/>
    <mergeCell ref="AU36:AV36"/>
    <mergeCell ref="AU38:AV38"/>
    <mergeCell ref="M33:O33"/>
    <mergeCell ref="AG48:AI48"/>
    <mergeCell ref="AG47:AI47"/>
    <mergeCell ref="AG46:AI46"/>
    <mergeCell ref="AG45:AI45"/>
    <mergeCell ref="AG44:AJ44"/>
    <mergeCell ref="AF36:AG36"/>
    <mergeCell ref="AF37:AG37"/>
    <mergeCell ref="AG49:AI49"/>
    <mergeCell ref="B80:B83"/>
    <mergeCell ref="BD81:BG81"/>
    <mergeCell ref="BD82:BG82"/>
    <mergeCell ref="H43:K43"/>
    <mergeCell ref="H44:K44"/>
    <mergeCell ref="AF38:AG38"/>
    <mergeCell ref="AG43:AJ43"/>
    <mergeCell ref="AG51:AI51"/>
    <mergeCell ref="AG50:AI50"/>
    <mergeCell ref="AV63:AW63"/>
    <mergeCell ref="BD65:BG65"/>
    <mergeCell ref="V56:Z56"/>
    <mergeCell ref="V57:Z57"/>
    <mergeCell ref="J74:K74"/>
    <mergeCell ref="T73:V73"/>
    <mergeCell ref="T74:V74"/>
    <mergeCell ref="J69:L69"/>
    <mergeCell ref="J70:K70"/>
    <mergeCell ref="J71:K71"/>
    <mergeCell ref="J72:K72"/>
    <mergeCell ref="J73:K73"/>
    <mergeCell ref="T68:W68"/>
    <mergeCell ref="AM68:AP68"/>
    <mergeCell ref="AQ68:AT68"/>
    <mergeCell ref="BD85:BG85"/>
    <mergeCell ref="C78:BC78"/>
    <mergeCell ref="C81:BC81"/>
    <mergeCell ref="C82:BC82"/>
    <mergeCell ref="C83:BC83"/>
    <mergeCell ref="BD78:BG78"/>
    <mergeCell ref="BD83:BG83"/>
    <mergeCell ref="BD77:BG77"/>
    <mergeCell ref="J68:L68"/>
    <mergeCell ref="D69:H69"/>
    <mergeCell ref="T69:W69"/>
    <mergeCell ref="AM69:AP69"/>
    <mergeCell ref="AQ69:AT69"/>
    <mergeCell ref="B55:B65"/>
    <mergeCell ref="AV56:AX56"/>
    <mergeCell ref="AV62:AW62"/>
    <mergeCell ref="AV57:AX57"/>
    <mergeCell ref="AV58:AW58"/>
    <mergeCell ref="AV59:AW59"/>
    <mergeCell ref="AV60:AW60"/>
    <mergeCell ref="AV61:AW61"/>
    <mergeCell ref="AK59:AL59"/>
    <mergeCell ref="AK56:AM56"/>
    <mergeCell ref="AK57:AM57"/>
    <mergeCell ref="AK58:AL58"/>
    <mergeCell ref="AK60:AL60"/>
    <mergeCell ref="AK61:AL61"/>
    <mergeCell ref="AK62:AL62"/>
    <mergeCell ref="AK63:AL63"/>
    <mergeCell ref="B67:B78"/>
    <mergeCell ref="D68:H68"/>
    <mergeCell ref="M32:O32"/>
    <mergeCell ref="B3:B4"/>
    <mergeCell ref="B31:B53"/>
    <mergeCell ref="AF32:AH32"/>
    <mergeCell ref="AU32:AW32"/>
    <mergeCell ref="AF33:AH33"/>
    <mergeCell ref="AU37:AV37"/>
    <mergeCell ref="AU33:AW33"/>
    <mergeCell ref="AF34:AG34"/>
    <mergeCell ref="AU34:AV34"/>
    <mergeCell ref="AF35:AG35"/>
    <mergeCell ref="AU35:AV35"/>
    <mergeCell ref="AT18:BB18"/>
    <mergeCell ref="B6:B29"/>
    <mergeCell ref="P7:S7"/>
    <mergeCell ref="Z7:AE7"/>
    <mergeCell ref="AY7:BA7"/>
    <mergeCell ref="P8:S8"/>
    <mergeCell ref="Z8:AE8"/>
    <mergeCell ref="AY8:BA8"/>
    <mergeCell ref="AT19:BB19"/>
    <mergeCell ref="C19:J19"/>
    <mergeCell ref="C18:J18"/>
    <mergeCell ref="Q3:T3"/>
    <mergeCell ref="D3:G3"/>
    <mergeCell ref="H3:K3"/>
    <mergeCell ref="L3:P3"/>
    <mergeCell ref="AZ3:BC3"/>
    <mergeCell ref="BD5:BG5"/>
    <mergeCell ref="Y3:AC3"/>
    <mergeCell ref="AD3:AG3"/>
    <mergeCell ref="AH3:AL3"/>
    <mergeCell ref="AM3:AP3"/>
    <mergeCell ref="AQ3:AT3"/>
    <mergeCell ref="AU3:AY3"/>
    <mergeCell ref="U3:X3"/>
  </mergeCells>
  <pageMargins left="0.7" right="0.7" top="0.75" bottom="0.75" header="0.3" footer="0.3"/>
  <pageSetup paperSize="3" orientation="landscape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C0C-9AEA-4846-B146-1C55A30DE570}">
  <dimension ref="B1:CG77"/>
  <sheetViews>
    <sheetView showGridLines="0" zoomScale="90" zoomScaleNormal="90" workbookViewId="0">
      <pane ySplit="4" topLeftCell="A5" activePane="bottomLeft" state="frozen"/>
      <selection pane="bottomLeft" activeCell="B3" sqref="B3:B4"/>
    </sheetView>
  </sheetViews>
  <sheetFormatPr defaultColWidth="8.5703125" defaultRowHeight="12" customHeight="1"/>
  <cols>
    <col min="1" max="1" width="2.42578125" style="1" customWidth="1"/>
    <col min="2" max="2" width="23.140625" style="1" customWidth="1"/>
    <col min="3" max="33" width="7.42578125" style="1" customWidth="1"/>
    <col min="34" max="34" width="7.5703125" style="1" customWidth="1"/>
    <col min="35" max="54" width="7.42578125" style="1" customWidth="1"/>
    <col min="55" max="85" width="2.5703125" style="1" customWidth="1"/>
    <col min="86" max="16384" width="8.5703125" style="1"/>
  </cols>
  <sheetData>
    <row r="1" spans="2:85" ht="19.5">
      <c r="B1" s="22" t="s">
        <v>52</v>
      </c>
    </row>
    <row r="2" spans="2:85" ht="12.95" thickBot="1">
      <c r="B2" s="1" t="str">
        <f>+GCM!B2</f>
        <v>Revision 1  (as of 11.12.2025)</v>
      </c>
    </row>
    <row r="3" spans="2:85" ht="14.85" customHeight="1">
      <c r="B3" s="170" t="str">
        <f>+GCM!B3</f>
        <v>2026 US Media Mix Calendar</v>
      </c>
      <c r="C3" s="167" t="s">
        <v>3</v>
      </c>
      <c r="D3" s="164"/>
      <c r="E3" s="164"/>
      <c r="F3" s="164"/>
      <c r="G3" s="164" t="s">
        <v>4</v>
      </c>
      <c r="H3" s="164"/>
      <c r="I3" s="164"/>
      <c r="J3" s="164"/>
      <c r="K3" s="165" t="s">
        <v>5</v>
      </c>
      <c r="L3" s="166"/>
      <c r="M3" s="166"/>
      <c r="N3" s="166"/>
      <c r="O3" s="167"/>
      <c r="P3" s="164" t="s">
        <v>6</v>
      </c>
      <c r="Q3" s="164"/>
      <c r="R3" s="164"/>
      <c r="S3" s="164"/>
      <c r="T3" s="164" t="s">
        <v>7</v>
      </c>
      <c r="U3" s="164"/>
      <c r="V3" s="164"/>
      <c r="W3" s="164"/>
      <c r="X3" s="165" t="s">
        <v>8</v>
      </c>
      <c r="Y3" s="166"/>
      <c r="Z3" s="166"/>
      <c r="AA3" s="166"/>
      <c r="AB3" s="167"/>
      <c r="AC3" s="164" t="s">
        <v>9</v>
      </c>
      <c r="AD3" s="164"/>
      <c r="AE3" s="164"/>
      <c r="AF3" s="164"/>
      <c r="AG3" s="165" t="s">
        <v>10</v>
      </c>
      <c r="AH3" s="166"/>
      <c r="AI3" s="166"/>
      <c r="AJ3" s="166"/>
      <c r="AK3" s="167"/>
      <c r="AL3" s="165" t="s">
        <v>11</v>
      </c>
      <c r="AM3" s="166"/>
      <c r="AN3" s="166"/>
      <c r="AO3" s="167"/>
      <c r="AP3" s="164" t="s">
        <v>12</v>
      </c>
      <c r="AQ3" s="164"/>
      <c r="AR3" s="164"/>
      <c r="AS3" s="164"/>
      <c r="AT3" s="165" t="s">
        <v>13</v>
      </c>
      <c r="AU3" s="166"/>
      <c r="AV3" s="166"/>
      <c r="AW3" s="166"/>
      <c r="AX3" s="167"/>
      <c r="AY3" s="164" t="s">
        <v>14</v>
      </c>
      <c r="AZ3" s="164"/>
      <c r="BA3" s="164"/>
      <c r="BB3" s="164"/>
      <c r="BC3" s="4"/>
      <c r="BD3" s="5"/>
      <c r="BE3" s="5"/>
      <c r="BF3" s="6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</row>
    <row r="4" spans="2:85" ht="15" customHeight="1" thickBot="1">
      <c r="B4" s="171"/>
      <c r="C4" s="30">
        <v>5</v>
      </c>
      <c r="D4" s="10">
        <v>12</v>
      </c>
      <c r="E4" s="10">
        <v>19</v>
      </c>
      <c r="F4" s="10">
        <v>26</v>
      </c>
      <c r="G4" s="10">
        <v>2</v>
      </c>
      <c r="H4" s="10">
        <v>9</v>
      </c>
      <c r="I4" s="10">
        <v>16</v>
      </c>
      <c r="J4" s="10">
        <v>23</v>
      </c>
      <c r="K4" s="10">
        <v>2</v>
      </c>
      <c r="L4" s="10">
        <v>9</v>
      </c>
      <c r="M4" s="10">
        <v>16</v>
      </c>
      <c r="N4" s="10">
        <v>23</v>
      </c>
      <c r="O4" s="10">
        <v>30</v>
      </c>
      <c r="P4" s="10">
        <v>6</v>
      </c>
      <c r="Q4" s="10">
        <v>13</v>
      </c>
      <c r="R4" s="10">
        <v>20</v>
      </c>
      <c r="S4" s="10">
        <v>27</v>
      </c>
      <c r="T4" s="10">
        <v>4</v>
      </c>
      <c r="U4" s="10">
        <v>11</v>
      </c>
      <c r="V4" s="10">
        <v>18</v>
      </c>
      <c r="W4" s="10">
        <v>25</v>
      </c>
      <c r="X4" s="10">
        <v>1</v>
      </c>
      <c r="Y4" s="10">
        <v>8</v>
      </c>
      <c r="Z4" s="10">
        <v>15</v>
      </c>
      <c r="AA4" s="10">
        <v>22</v>
      </c>
      <c r="AB4" s="10">
        <v>29</v>
      </c>
      <c r="AC4" s="10">
        <v>6</v>
      </c>
      <c r="AD4" s="10">
        <v>13</v>
      </c>
      <c r="AE4" s="10">
        <v>20</v>
      </c>
      <c r="AF4" s="10">
        <v>27</v>
      </c>
      <c r="AG4" s="10">
        <v>3</v>
      </c>
      <c r="AH4" s="10">
        <v>10</v>
      </c>
      <c r="AI4" s="10">
        <v>17</v>
      </c>
      <c r="AJ4" s="10">
        <v>24</v>
      </c>
      <c r="AK4" s="10">
        <v>31</v>
      </c>
      <c r="AL4" s="10">
        <v>7</v>
      </c>
      <c r="AM4" s="10">
        <v>14</v>
      </c>
      <c r="AN4" s="10">
        <v>21</v>
      </c>
      <c r="AO4" s="10">
        <v>28</v>
      </c>
      <c r="AP4" s="10">
        <v>5</v>
      </c>
      <c r="AQ4" s="10">
        <v>12</v>
      </c>
      <c r="AR4" s="10">
        <v>19</v>
      </c>
      <c r="AS4" s="10">
        <v>26</v>
      </c>
      <c r="AT4" s="10">
        <v>2</v>
      </c>
      <c r="AU4" s="10">
        <v>9</v>
      </c>
      <c r="AV4" s="10">
        <v>16</v>
      </c>
      <c r="AW4" s="10">
        <v>23</v>
      </c>
      <c r="AX4" s="10">
        <v>30</v>
      </c>
      <c r="AY4" s="10">
        <v>7</v>
      </c>
      <c r="AZ4" s="10">
        <v>14</v>
      </c>
      <c r="BA4" s="10">
        <v>21</v>
      </c>
      <c r="BB4" s="10">
        <v>28</v>
      </c>
      <c r="BC4" s="7"/>
      <c r="BD4" s="8"/>
      <c r="BE4" s="8"/>
      <c r="BF4" s="9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</row>
    <row r="5" spans="2:85" ht="11.45" customHeight="1" thickBot="1">
      <c r="B5" s="31"/>
      <c r="C5" s="26"/>
      <c r="D5" s="26"/>
      <c r="E5" s="26"/>
      <c r="F5" s="26"/>
      <c r="G5" s="27"/>
      <c r="H5" s="28"/>
      <c r="I5" s="28"/>
      <c r="J5" s="28"/>
      <c r="K5" s="29"/>
      <c r="L5" s="26"/>
      <c r="M5" s="26"/>
      <c r="N5" s="26"/>
      <c r="O5" s="26"/>
      <c r="P5" s="26"/>
      <c r="Q5" s="26"/>
      <c r="R5" s="27"/>
      <c r="S5" s="28"/>
      <c r="T5" s="28"/>
      <c r="U5" s="28"/>
      <c r="V5" s="29"/>
      <c r="W5" s="26"/>
      <c r="X5" s="26"/>
      <c r="Y5" s="27"/>
      <c r="Z5" s="28"/>
      <c r="AA5" s="28"/>
      <c r="AB5" s="28"/>
      <c r="AC5" s="29"/>
      <c r="AD5" s="26"/>
      <c r="AE5" s="26"/>
      <c r="AF5" s="26"/>
      <c r="AG5" s="26"/>
      <c r="AH5" s="27"/>
      <c r="AI5" s="28"/>
      <c r="AJ5" s="28"/>
      <c r="AK5" s="28"/>
      <c r="AL5" s="27"/>
      <c r="AM5" s="28"/>
      <c r="AN5" s="28"/>
      <c r="AO5" s="28"/>
      <c r="AP5" s="28"/>
      <c r="AQ5" s="29"/>
      <c r="AR5" s="26"/>
      <c r="AS5" s="26"/>
      <c r="AT5" s="26"/>
      <c r="AU5" s="26"/>
      <c r="AV5" s="26"/>
      <c r="AW5" s="26"/>
      <c r="AX5" s="26"/>
      <c r="AY5" s="26"/>
      <c r="AZ5" s="27"/>
      <c r="BA5" s="28"/>
      <c r="BB5" s="29"/>
      <c r="BC5" s="161"/>
      <c r="BD5" s="162"/>
      <c r="BE5" s="162"/>
      <c r="BF5" s="163"/>
    </row>
    <row r="6" spans="2:85" ht="14.1" customHeight="1">
      <c r="B6" s="174" t="s">
        <v>15</v>
      </c>
      <c r="C6" s="14"/>
      <c r="D6" s="14"/>
      <c r="E6" s="14"/>
      <c r="F6" s="14"/>
      <c r="G6" s="112"/>
      <c r="H6" s="34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14"/>
      <c r="Z6" s="14"/>
      <c r="AA6" s="14"/>
      <c r="AB6" s="14"/>
      <c r="AC6" s="14"/>
      <c r="AD6" s="14"/>
      <c r="AE6" s="35"/>
      <c r="AF6" s="35"/>
      <c r="AG6" s="35"/>
      <c r="AH6" s="34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64"/>
      <c r="BC6" s="150"/>
      <c r="BD6" s="150"/>
      <c r="BE6" s="150"/>
      <c r="BF6" s="151"/>
    </row>
    <row r="7" spans="2:85" ht="14.1" customHeight="1">
      <c r="B7" s="175"/>
      <c r="K7" s="48"/>
      <c r="L7" s="65"/>
      <c r="M7" s="65"/>
      <c r="N7" s="65"/>
      <c r="O7" s="183" t="s">
        <v>16</v>
      </c>
      <c r="P7" s="281"/>
      <c r="Q7" s="281"/>
      <c r="R7" s="282"/>
      <c r="S7" s="65"/>
      <c r="T7" s="65"/>
      <c r="U7" s="65"/>
      <c r="V7" s="65"/>
      <c r="W7" s="65"/>
      <c r="X7" s="65"/>
      <c r="Y7" s="283" t="s">
        <v>16</v>
      </c>
      <c r="Z7" s="284"/>
      <c r="AA7" s="284"/>
      <c r="AB7" s="284"/>
      <c r="AC7" s="284"/>
      <c r="AD7" s="285"/>
      <c r="AE7" s="48"/>
      <c r="AF7" s="48"/>
      <c r="AG7" s="48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X7" s="177" t="s">
        <v>16</v>
      </c>
      <c r="AY7" s="178"/>
      <c r="AZ7" s="179"/>
      <c r="BB7" s="66"/>
      <c r="BC7" s="150"/>
      <c r="BD7" s="150"/>
      <c r="BE7" s="150"/>
      <c r="BF7" s="151"/>
    </row>
    <row r="8" spans="2:85" ht="14.1" customHeight="1">
      <c r="B8" s="175"/>
      <c r="K8" s="42"/>
      <c r="L8" s="67"/>
      <c r="M8" s="67"/>
      <c r="N8" s="67"/>
      <c r="O8" s="286">
        <f>SUM(R9:R14)</f>
        <v>1174.058</v>
      </c>
      <c r="P8" s="251"/>
      <c r="Q8" s="251"/>
      <c r="R8" s="287"/>
      <c r="S8" s="67"/>
      <c r="T8" s="67"/>
      <c r="U8" s="67"/>
      <c r="V8" s="67"/>
      <c r="W8" s="67"/>
      <c r="X8" s="67"/>
      <c r="Y8" s="288">
        <f>SUM(AD9:AD14)</f>
        <v>1770.2244000000001</v>
      </c>
      <c r="Z8" s="289"/>
      <c r="AA8" s="289"/>
      <c r="AB8" s="289"/>
      <c r="AC8" s="289"/>
      <c r="AD8" s="290"/>
      <c r="AE8" s="45"/>
      <c r="AF8" s="45"/>
      <c r="AG8" s="45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X8" s="180">
        <f>SUM(AZ9:AZ13)</f>
        <v>810</v>
      </c>
      <c r="AY8" s="181"/>
      <c r="AZ8" s="182"/>
      <c r="BB8" s="68"/>
      <c r="BC8" s="150"/>
      <c r="BD8" s="150"/>
      <c r="BE8" s="150"/>
      <c r="BF8" s="151"/>
    </row>
    <row r="9" spans="2:85" ht="14.1" customHeight="1">
      <c r="B9" s="175"/>
      <c r="K9" s="67"/>
      <c r="L9" s="67"/>
      <c r="M9" s="67"/>
      <c r="N9" s="67"/>
      <c r="O9" s="155" t="s">
        <v>17</v>
      </c>
      <c r="P9" s="50"/>
      <c r="Q9" s="153"/>
      <c r="R9" s="75">
        <v>66</v>
      </c>
      <c r="S9" s="67"/>
      <c r="T9" s="67"/>
      <c r="U9" s="67"/>
      <c r="V9" s="67"/>
      <c r="W9" s="67"/>
      <c r="X9" s="67"/>
      <c r="Y9" s="128" t="s">
        <v>17</v>
      </c>
      <c r="Z9" s="54"/>
      <c r="AA9" s="54"/>
      <c r="AB9" s="54"/>
      <c r="AC9" s="55"/>
      <c r="AD9" s="79">
        <v>102</v>
      </c>
      <c r="AE9" s="67"/>
      <c r="AF9" s="67"/>
      <c r="AG9" s="67"/>
      <c r="AH9" s="65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152" t="s">
        <v>17</v>
      </c>
      <c r="AY9" s="50"/>
      <c r="AZ9" s="56">
        <v>54</v>
      </c>
      <c r="BB9" s="69"/>
      <c r="BC9" s="150"/>
      <c r="BD9" s="150"/>
      <c r="BE9" s="150"/>
      <c r="BF9" s="151"/>
    </row>
    <row r="10" spans="2:85" ht="14.1" customHeight="1">
      <c r="B10" s="175"/>
      <c r="K10" s="67"/>
      <c r="L10" s="67"/>
      <c r="M10" s="67"/>
      <c r="N10" s="67"/>
      <c r="O10" s="155" t="s">
        <v>18</v>
      </c>
      <c r="P10" s="50"/>
      <c r="Q10" s="153"/>
      <c r="R10" s="99">
        <v>60.2</v>
      </c>
      <c r="S10" s="67"/>
      <c r="T10" s="67"/>
      <c r="U10" s="67"/>
      <c r="V10" s="67"/>
      <c r="W10" s="67"/>
      <c r="X10" s="67"/>
      <c r="Y10" s="155" t="s">
        <v>18</v>
      </c>
      <c r="Z10" s="50"/>
      <c r="AA10" s="50"/>
      <c r="AB10" s="50"/>
      <c r="AC10" s="153"/>
      <c r="AD10" s="79">
        <v>105.0489</v>
      </c>
      <c r="AE10" s="67"/>
      <c r="AF10" s="67"/>
      <c r="AG10" s="67"/>
      <c r="AH10" s="65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152" t="s">
        <v>19</v>
      </c>
      <c r="AY10" s="50"/>
      <c r="AZ10" s="56">
        <v>85.5</v>
      </c>
      <c r="BB10" s="69"/>
      <c r="BC10" s="150"/>
      <c r="BD10" s="150"/>
      <c r="BE10" s="150"/>
      <c r="BF10" s="151"/>
    </row>
    <row r="11" spans="2:85" s="13" customFormat="1" ht="14.1" customHeight="1">
      <c r="B11" s="175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55" t="s">
        <v>19</v>
      </c>
      <c r="P11" s="50"/>
      <c r="Q11" s="153"/>
      <c r="R11" s="99">
        <v>126</v>
      </c>
      <c r="S11" s="113"/>
      <c r="T11" s="113"/>
      <c r="U11" s="113"/>
      <c r="V11" s="113"/>
      <c r="W11" s="113"/>
      <c r="X11" s="67"/>
      <c r="Y11" s="155" t="s">
        <v>19</v>
      </c>
      <c r="Z11" s="50"/>
      <c r="AA11" s="50"/>
      <c r="AB11" s="50"/>
      <c r="AC11" s="153"/>
      <c r="AD11" s="79">
        <v>126</v>
      </c>
      <c r="AE11" s="113"/>
      <c r="AF11" s="113"/>
      <c r="AG11" s="113"/>
      <c r="AH11" s="114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52" t="s">
        <v>20</v>
      </c>
      <c r="AY11" s="50"/>
      <c r="AZ11" s="56">
        <v>148.5</v>
      </c>
      <c r="BA11" s="113"/>
      <c r="BB11" s="115"/>
      <c r="BC11" s="150"/>
      <c r="BD11" s="150"/>
      <c r="BE11" s="150"/>
      <c r="BF11" s="151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</row>
    <row r="12" spans="2:85" ht="14.1" customHeight="1">
      <c r="B12" s="175"/>
      <c r="O12" s="155" t="s">
        <v>20</v>
      </c>
      <c r="P12" s="50"/>
      <c r="Q12" s="153"/>
      <c r="R12" s="99">
        <v>204</v>
      </c>
      <c r="Y12" s="155" t="s">
        <v>20</v>
      </c>
      <c r="Z12" s="50"/>
      <c r="AA12" s="50"/>
      <c r="AB12" s="50"/>
      <c r="AC12" s="153"/>
      <c r="AD12" s="79">
        <v>357.1755</v>
      </c>
      <c r="AH12" s="49"/>
      <c r="AX12" s="152" t="s">
        <v>21</v>
      </c>
      <c r="AY12" s="50"/>
      <c r="AZ12" s="56">
        <v>405</v>
      </c>
      <c r="BB12" s="70"/>
      <c r="BC12" s="150"/>
      <c r="BD12" s="150"/>
      <c r="BE12" s="150"/>
      <c r="BF12" s="151"/>
    </row>
    <row r="13" spans="2:85" ht="14.1" customHeight="1">
      <c r="B13" s="175"/>
      <c r="O13" s="155" t="s">
        <v>21</v>
      </c>
      <c r="P13" s="50"/>
      <c r="Q13" s="153"/>
      <c r="R13" s="99">
        <v>486</v>
      </c>
      <c r="X13" s="113"/>
      <c r="Y13" s="155" t="s">
        <v>21</v>
      </c>
      <c r="Z13" s="50"/>
      <c r="AA13" s="50"/>
      <c r="AB13" s="50"/>
      <c r="AC13" s="153"/>
      <c r="AD13" s="79">
        <v>774</v>
      </c>
      <c r="AG13" s="113"/>
      <c r="AH13" s="49"/>
      <c r="AO13" s="113"/>
      <c r="AP13" s="113"/>
      <c r="AQ13" s="113"/>
      <c r="AR13" s="113"/>
      <c r="AX13" s="152" t="s">
        <v>22</v>
      </c>
      <c r="AY13" s="50"/>
      <c r="AZ13" s="56">
        <v>117</v>
      </c>
      <c r="BB13" s="70"/>
      <c r="BC13" s="150"/>
      <c r="BD13" s="150"/>
      <c r="BE13" s="150"/>
      <c r="BF13" s="151"/>
    </row>
    <row r="14" spans="2:85" ht="14.1" customHeight="1">
      <c r="B14" s="175"/>
      <c r="O14" s="155" t="s">
        <v>22</v>
      </c>
      <c r="P14" s="50"/>
      <c r="Q14" s="153"/>
      <c r="R14" s="100">
        <v>231.858</v>
      </c>
      <c r="X14" s="113"/>
      <c r="Y14" s="155" t="s">
        <v>22</v>
      </c>
      <c r="Z14" s="50"/>
      <c r="AA14" s="50"/>
      <c r="AB14" s="50"/>
      <c r="AC14" s="153"/>
      <c r="AD14" s="79">
        <v>306</v>
      </c>
      <c r="AG14" s="113"/>
      <c r="AH14" s="49"/>
      <c r="AO14" s="113"/>
      <c r="AP14" s="113"/>
      <c r="AQ14" s="113"/>
      <c r="AR14" s="113"/>
      <c r="AX14" s="57">
        <v>270</v>
      </c>
      <c r="AY14" s="58">
        <v>270</v>
      </c>
      <c r="AZ14" s="59">
        <v>270</v>
      </c>
      <c r="BB14" s="70"/>
      <c r="BC14" s="150"/>
      <c r="BD14" s="150"/>
      <c r="BE14" s="150"/>
      <c r="BF14" s="151"/>
    </row>
    <row r="15" spans="2:85" ht="14.1" customHeight="1">
      <c r="B15" s="175"/>
      <c r="O15" s="76">
        <v>293.5145</v>
      </c>
      <c r="P15" s="101">
        <v>293.5145</v>
      </c>
      <c r="Q15" s="101">
        <v>293.5145</v>
      </c>
      <c r="R15" s="53">
        <v>293.5145</v>
      </c>
      <c r="X15" s="113"/>
      <c r="Y15" s="80">
        <v>290.07479999999998</v>
      </c>
      <c r="Z15" s="81">
        <v>290.07479999999998</v>
      </c>
      <c r="AA15" s="81">
        <v>290.07479999999998</v>
      </c>
      <c r="AB15" s="81">
        <v>300</v>
      </c>
      <c r="AC15" s="81">
        <v>300</v>
      </c>
      <c r="AD15" s="82">
        <v>300</v>
      </c>
      <c r="AG15" s="113"/>
      <c r="AH15" s="49"/>
      <c r="AO15" s="113"/>
      <c r="AP15" s="113"/>
      <c r="AQ15" s="113"/>
      <c r="AR15" s="113"/>
      <c r="BB15" s="70"/>
      <c r="BC15" s="150"/>
      <c r="BD15" s="150"/>
      <c r="BE15" s="150"/>
      <c r="BF15" s="151"/>
    </row>
    <row r="16" spans="2:85" ht="14.1" customHeight="1">
      <c r="B16" s="175"/>
      <c r="G16" s="71"/>
      <c r="H16" s="71"/>
      <c r="I16" s="71"/>
      <c r="J16" s="71"/>
      <c r="X16" s="113"/>
      <c r="Y16" s="71"/>
      <c r="Z16" s="71"/>
      <c r="AA16" s="71"/>
      <c r="AB16" s="71"/>
      <c r="AC16" s="71"/>
      <c r="AD16" s="127"/>
      <c r="AG16" s="113"/>
      <c r="AH16" s="49"/>
      <c r="AO16" s="113"/>
      <c r="AP16" s="113"/>
      <c r="AQ16" s="113"/>
      <c r="AR16" s="113"/>
      <c r="AX16" s="71"/>
      <c r="AY16" s="71"/>
      <c r="AZ16" s="71"/>
      <c r="BB16" s="70"/>
      <c r="BC16" s="150"/>
      <c r="BD16" s="150"/>
      <c r="BE16" s="150"/>
      <c r="BF16" s="151"/>
    </row>
    <row r="17" spans="2:58" ht="14.1" customHeight="1">
      <c r="B17" s="175"/>
      <c r="G17" s="71"/>
      <c r="H17" s="71"/>
      <c r="I17" s="71"/>
      <c r="J17" s="71"/>
      <c r="M17" s="266" t="s">
        <v>53</v>
      </c>
      <c r="N17" s="256"/>
      <c r="O17" s="256"/>
      <c r="P17" s="256"/>
      <c r="Q17" s="256"/>
      <c r="R17" s="257"/>
      <c r="X17" s="113"/>
      <c r="Y17" s="71"/>
      <c r="Z17" s="71"/>
      <c r="AA17" s="71"/>
      <c r="AB17" s="71"/>
      <c r="AC17" s="71"/>
      <c r="AD17" s="71"/>
      <c r="AG17" s="113"/>
      <c r="AH17" s="49"/>
      <c r="AO17" s="113"/>
      <c r="AP17" s="113"/>
      <c r="AQ17" s="113"/>
      <c r="AR17" s="113"/>
      <c r="AS17" s="183" t="s">
        <v>53</v>
      </c>
      <c r="AT17" s="281"/>
      <c r="AU17" s="281"/>
      <c r="AV17" s="282"/>
      <c r="AX17" s="283" t="s">
        <v>53</v>
      </c>
      <c r="AY17" s="284"/>
      <c r="AZ17" s="285"/>
      <c r="BB17" s="70"/>
      <c r="BC17" s="150"/>
      <c r="BD17" s="150"/>
      <c r="BE17" s="150"/>
      <c r="BF17" s="151"/>
    </row>
    <row r="18" spans="2:58" ht="14.1" customHeight="1">
      <c r="B18" s="175"/>
      <c r="G18" s="71"/>
      <c r="H18" s="71"/>
      <c r="I18" s="71"/>
      <c r="J18" s="71"/>
      <c r="M18" s="309">
        <f>SUM(R19:R24)</f>
        <v>613.33985999999993</v>
      </c>
      <c r="N18" s="310"/>
      <c r="O18" s="310"/>
      <c r="P18" s="310"/>
      <c r="Q18" s="310"/>
      <c r="R18" s="311"/>
      <c r="X18" s="113"/>
      <c r="Y18" s="71"/>
      <c r="Z18" s="71"/>
      <c r="AA18" s="71"/>
      <c r="AB18" s="71"/>
      <c r="AC18" s="71"/>
      <c r="AD18" s="71"/>
      <c r="AG18" s="113"/>
      <c r="AH18" s="49"/>
      <c r="AO18" s="113"/>
      <c r="AP18" s="113"/>
      <c r="AQ18" s="113"/>
      <c r="AR18" s="113"/>
      <c r="AS18" s="186">
        <f>SUM(AV19:AV25)</f>
        <v>362.42329999999998</v>
      </c>
      <c r="AT18" s="274"/>
      <c r="AU18" s="274"/>
      <c r="AV18" s="312"/>
      <c r="AX18" s="186">
        <f>SUM(AZ19:AZ25)</f>
        <v>271.8177</v>
      </c>
      <c r="AY18" s="274"/>
      <c r="AZ18" s="312"/>
      <c r="BB18" s="70"/>
      <c r="BC18" s="150"/>
      <c r="BD18" s="150"/>
      <c r="BE18" s="150"/>
      <c r="BF18" s="151"/>
    </row>
    <row r="19" spans="2:58" ht="14.1" customHeight="1">
      <c r="B19" s="175"/>
      <c r="G19" s="71"/>
      <c r="H19" s="71"/>
      <c r="I19" s="71"/>
      <c r="J19" s="71"/>
      <c r="M19" s="72" t="s">
        <v>37</v>
      </c>
      <c r="N19" s="73"/>
      <c r="O19" s="73"/>
      <c r="P19" s="73"/>
      <c r="Q19" s="74"/>
      <c r="R19" s="75">
        <v>239.90209999999999</v>
      </c>
      <c r="X19" s="113"/>
      <c r="Y19" s="71"/>
      <c r="Z19" s="71"/>
      <c r="AA19" s="71"/>
      <c r="AB19" s="71"/>
      <c r="AC19" s="71"/>
      <c r="AD19" s="71"/>
      <c r="AG19" s="113"/>
      <c r="AH19" s="49"/>
      <c r="AO19"/>
      <c r="AP19"/>
      <c r="AQ19"/>
      <c r="AR19"/>
      <c r="AS19" s="72" t="s">
        <v>37</v>
      </c>
      <c r="AT19" s="73"/>
      <c r="AU19" s="74"/>
      <c r="AV19" s="99">
        <v>63</v>
      </c>
      <c r="AX19" s="103" t="s">
        <v>37</v>
      </c>
      <c r="AY19" s="104"/>
      <c r="AZ19" s="129">
        <v>47.25</v>
      </c>
      <c r="BB19" s="70"/>
      <c r="BC19" s="150"/>
      <c r="BD19" s="150"/>
      <c r="BE19" s="150"/>
      <c r="BF19" s="151"/>
    </row>
    <row r="20" spans="2:58" ht="14.1" customHeight="1">
      <c r="B20" s="175"/>
      <c r="G20" s="71"/>
      <c r="H20" s="71"/>
      <c r="I20" s="71"/>
      <c r="J20" s="71"/>
      <c r="M20" s="72" t="s">
        <v>18</v>
      </c>
      <c r="N20" s="73"/>
      <c r="O20" s="73"/>
      <c r="P20" s="73"/>
      <c r="Q20" s="74"/>
      <c r="R20" s="75">
        <v>77.28</v>
      </c>
      <c r="X20"/>
      <c r="Y20"/>
      <c r="Z20"/>
      <c r="AA20"/>
      <c r="AB20" s="71"/>
      <c r="AC20" s="71"/>
      <c r="AD20" s="71"/>
      <c r="AG20" s="113"/>
      <c r="AH20" s="49"/>
      <c r="AO20"/>
      <c r="AP20"/>
      <c r="AQ20"/>
      <c r="AR20"/>
      <c r="AS20" s="72" t="s">
        <v>18</v>
      </c>
      <c r="AT20" s="73"/>
      <c r="AU20" s="74"/>
      <c r="AV20" s="99">
        <v>40.479999999999997</v>
      </c>
      <c r="AX20" s="72" t="s">
        <v>18</v>
      </c>
      <c r="AY20" s="104"/>
      <c r="AZ20" s="129">
        <v>30.360299999999999</v>
      </c>
      <c r="BB20" s="70"/>
      <c r="BC20" s="150"/>
      <c r="BD20" s="150"/>
      <c r="BE20" s="150"/>
      <c r="BF20" s="151"/>
    </row>
    <row r="21" spans="2:58" ht="14.1" customHeight="1">
      <c r="B21" s="175"/>
      <c r="G21" s="71"/>
      <c r="H21" s="71"/>
      <c r="I21" s="71"/>
      <c r="J21" s="71"/>
      <c r="M21" s="72" t="s">
        <v>20</v>
      </c>
      <c r="N21" s="73"/>
      <c r="O21" s="73"/>
      <c r="P21" s="73"/>
      <c r="Q21" s="74"/>
      <c r="R21" s="75">
        <v>65.491820000000004</v>
      </c>
      <c r="X21"/>
      <c r="Y21"/>
      <c r="Z21"/>
      <c r="AA21"/>
      <c r="AB21" s="71"/>
      <c r="AC21" s="71"/>
      <c r="AD21" s="71"/>
      <c r="AG21" s="113"/>
      <c r="AH21" s="49"/>
      <c r="AO21"/>
      <c r="AP21"/>
      <c r="AQ21"/>
      <c r="AR21"/>
      <c r="AS21" s="72" t="s">
        <v>19</v>
      </c>
      <c r="AT21" s="73"/>
      <c r="AU21" s="74"/>
      <c r="AV21" s="99">
        <v>21.6</v>
      </c>
      <c r="AX21" s="103" t="s">
        <v>19</v>
      </c>
      <c r="AY21" s="104"/>
      <c r="AZ21" s="129">
        <v>16.2</v>
      </c>
      <c r="BB21" s="70"/>
      <c r="BC21" s="150"/>
      <c r="BD21" s="150"/>
      <c r="BE21" s="150"/>
      <c r="BF21" s="151"/>
    </row>
    <row r="22" spans="2:58" ht="14.1" customHeight="1">
      <c r="B22" s="175"/>
      <c r="G22" s="71"/>
      <c r="H22" s="71"/>
      <c r="I22" s="71"/>
      <c r="J22" s="71"/>
      <c r="M22" s="72" t="s">
        <v>50</v>
      </c>
      <c r="N22" s="73"/>
      <c r="O22" s="73"/>
      <c r="P22" s="73"/>
      <c r="Q22" s="74"/>
      <c r="R22" s="75">
        <v>2</v>
      </c>
      <c r="X22"/>
      <c r="Y22"/>
      <c r="Z22"/>
      <c r="AA22"/>
      <c r="AB22" s="71"/>
      <c r="AC22" s="71"/>
      <c r="AD22" s="71"/>
      <c r="AG22" s="113"/>
      <c r="AH22" s="49"/>
      <c r="AO22"/>
      <c r="AP22"/>
      <c r="AQ22"/>
      <c r="AR22"/>
      <c r="AS22" s="72" t="s">
        <v>20</v>
      </c>
      <c r="AT22" s="73"/>
      <c r="AU22" s="74"/>
      <c r="AV22" s="99">
        <v>59.8</v>
      </c>
      <c r="AX22" s="103" t="s">
        <v>20</v>
      </c>
      <c r="AY22" s="104"/>
      <c r="AZ22" s="129">
        <v>44.85</v>
      </c>
      <c r="BB22" s="70"/>
      <c r="BC22" s="150"/>
      <c r="BD22" s="150"/>
      <c r="BE22" s="150"/>
      <c r="BF22" s="151"/>
    </row>
    <row r="23" spans="2:58" ht="14.1" customHeight="1">
      <c r="B23" s="175"/>
      <c r="G23" s="71"/>
      <c r="H23" s="71"/>
      <c r="I23" s="71"/>
      <c r="J23" s="71"/>
      <c r="M23" s="72" t="s">
        <v>21</v>
      </c>
      <c r="N23" s="73"/>
      <c r="O23" s="73"/>
      <c r="P23" s="73"/>
      <c r="Q23" s="74"/>
      <c r="R23" s="75">
        <v>128.82429999999999</v>
      </c>
      <c r="X23"/>
      <c r="Y23"/>
      <c r="Z23"/>
      <c r="AA23"/>
      <c r="AB23" s="71"/>
      <c r="AC23" s="71"/>
      <c r="AD23" s="71"/>
      <c r="AG23" s="113"/>
      <c r="AH23" s="49"/>
      <c r="AO23"/>
      <c r="AP23"/>
      <c r="AQ23"/>
      <c r="AR23"/>
      <c r="AS23" s="72" t="s">
        <v>50</v>
      </c>
      <c r="AT23" s="73"/>
      <c r="AU23" s="74"/>
      <c r="AV23" s="99">
        <v>1.1432</v>
      </c>
      <c r="AX23" s="103" t="s">
        <v>50</v>
      </c>
      <c r="AY23" s="104"/>
      <c r="AZ23" s="129">
        <v>0.85740000000000005</v>
      </c>
      <c r="BB23" s="70"/>
      <c r="BC23" s="150"/>
      <c r="BD23" s="150"/>
      <c r="BE23" s="150"/>
      <c r="BF23" s="151"/>
    </row>
    <row r="24" spans="2:58" ht="14.1" customHeight="1">
      <c r="B24" s="175"/>
      <c r="G24" s="71"/>
      <c r="H24" s="71"/>
      <c r="I24" s="71"/>
      <c r="J24" s="71"/>
      <c r="M24" s="72" t="s">
        <v>22</v>
      </c>
      <c r="N24" s="73"/>
      <c r="O24" s="73"/>
      <c r="P24" s="73"/>
      <c r="Q24" s="74"/>
      <c r="R24" s="75">
        <v>99.841639999999998</v>
      </c>
      <c r="X24"/>
      <c r="Y24"/>
      <c r="Z24"/>
      <c r="AA24"/>
      <c r="AB24" s="71"/>
      <c r="AC24" s="71"/>
      <c r="AD24" s="71"/>
      <c r="AG24" s="113"/>
      <c r="AH24" s="49"/>
      <c r="AO24"/>
      <c r="AP24"/>
      <c r="AQ24"/>
      <c r="AR24"/>
      <c r="AS24" s="72" t="s">
        <v>21</v>
      </c>
      <c r="AT24" s="73"/>
      <c r="AU24" s="74"/>
      <c r="AV24" s="99">
        <v>118.8</v>
      </c>
      <c r="AX24" s="103" t="s">
        <v>21</v>
      </c>
      <c r="AY24" s="104"/>
      <c r="AZ24" s="129">
        <v>89.1</v>
      </c>
      <c r="BB24" s="70"/>
      <c r="BC24" s="150"/>
      <c r="BD24" s="150"/>
      <c r="BE24" s="150"/>
      <c r="BF24" s="151"/>
    </row>
    <row r="25" spans="2:58" ht="14.1" customHeight="1">
      <c r="B25" s="175"/>
      <c r="G25" s="71"/>
      <c r="H25" s="71"/>
      <c r="I25" s="71"/>
      <c r="J25" s="71"/>
      <c r="M25" s="76">
        <v>102.89</v>
      </c>
      <c r="N25" s="101">
        <v>102.89</v>
      </c>
      <c r="O25" s="101">
        <v>101.89</v>
      </c>
      <c r="P25" s="101">
        <v>101.89</v>
      </c>
      <c r="Q25" s="101">
        <v>101.89</v>
      </c>
      <c r="R25" s="102">
        <v>101.8901</v>
      </c>
      <c r="X25"/>
      <c r="Y25"/>
      <c r="Z25"/>
      <c r="AA25"/>
      <c r="AB25" s="71"/>
      <c r="AC25" s="71"/>
      <c r="AD25" s="71"/>
      <c r="AG25" s="113"/>
      <c r="AH25" s="49"/>
      <c r="AO25"/>
      <c r="AP25"/>
      <c r="AQ25"/>
      <c r="AR25"/>
      <c r="AS25" s="72" t="s">
        <v>22</v>
      </c>
      <c r="AT25" s="73"/>
      <c r="AU25" s="74"/>
      <c r="AV25" s="99">
        <v>57.600099999999998</v>
      </c>
      <c r="AX25" s="103" t="s">
        <v>22</v>
      </c>
      <c r="AY25" s="104"/>
      <c r="AZ25" s="129">
        <v>43.2</v>
      </c>
      <c r="BB25" s="70"/>
      <c r="BC25" s="150"/>
      <c r="BD25" s="150"/>
      <c r="BE25" s="150"/>
      <c r="BF25" s="151"/>
    </row>
    <row r="26" spans="2:58" ht="14.1" customHeight="1">
      <c r="B26" s="175"/>
      <c r="G26" s="71"/>
      <c r="H26" s="71"/>
      <c r="I26" s="71"/>
      <c r="J26" s="71"/>
      <c r="X26"/>
      <c r="Y26"/>
      <c r="Z26"/>
      <c r="AA26"/>
      <c r="AB26" s="71"/>
      <c r="AC26" s="71"/>
      <c r="AD26" s="71"/>
      <c r="AG26" s="113"/>
      <c r="AH26" s="49"/>
      <c r="AO26"/>
      <c r="AP26"/>
      <c r="AQ26"/>
      <c r="AR26"/>
      <c r="AS26" s="76">
        <v>90.605900000000005</v>
      </c>
      <c r="AT26" s="101">
        <v>90.605800000000002</v>
      </c>
      <c r="AU26" s="101">
        <v>90.605800000000002</v>
      </c>
      <c r="AV26" s="102">
        <v>90.605800000000002</v>
      </c>
      <c r="AX26" s="76">
        <v>90.605800000000002</v>
      </c>
      <c r="AY26" s="101">
        <v>90.605800000000002</v>
      </c>
      <c r="AZ26" s="102">
        <v>90.606099999999998</v>
      </c>
      <c r="BB26" s="70"/>
      <c r="BC26" s="150"/>
      <c r="BD26" s="150"/>
      <c r="BE26" s="150"/>
      <c r="BF26" s="151"/>
    </row>
    <row r="27" spans="2:58" ht="14.1" customHeight="1">
      <c r="B27" s="176"/>
      <c r="G27" s="71"/>
      <c r="H27" s="71"/>
      <c r="I27" s="71"/>
      <c r="J27" s="71"/>
      <c r="X27" s="113"/>
      <c r="Y27" s="71"/>
      <c r="Z27" s="71"/>
      <c r="AA27" s="71"/>
      <c r="AB27" s="71"/>
      <c r="AC27" s="71"/>
      <c r="AD27" s="71"/>
      <c r="AG27" s="113"/>
      <c r="AH27" s="49"/>
      <c r="AO27" s="113"/>
      <c r="AP27" s="113"/>
      <c r="AQ27" s="113"/>
      <c r="AR27" s="113"/>
      <c r="AX27" s="71"/>
      <c r="AY27" s="71"/>
      <c r="AZ27" s="71"/>
      <c r="BB27" s="70"/>
      <c r="BC27" s="277">
        <f>SUM(C8:BB8,C18:BB18)</f>
        <v>5001.8632600000001</v>
      </c>
      <c r="BD27" s="202"/>
      <c r="BE27" s="202"/>
      <c r="BF27" s="278"/>
    </row>
    <row r="28" spans="2:58" ht="15.6">
      <c r="B28" s="12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11"/>
      <c r="BC28" s="19"/>
      <c r="BD28" s="20"/>
      <c r="BE28" s="20"/>
      <c r="BF28" s="21"/>
    </row>
    <row r="29" spans="2:58" ht="14.85" customHeight="1">
      <c r="B29" s="229" t="s">
        <v>24</v>
      </c>
      <c r="C29" s="37"/>
      <c r="D29" s="37"/>
      <c r="E29" s="37"/>
      <c r="F29" s="37"/>
      <c r="G29" s="38"/>
      <c r="H29" s="3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17"/>
      <c r="BD29" s="23"/>
      <c r="BE29" s="23"/>
      <c r="BF29" s="18"/>
    </row>
    <row r="30" spans="2:58" ht="14.85" customHeight="1">
      <c r="B30" s="230"/>
      <c r="C30" s="37"/>
      <c r="D30" s="37"/>
      <c r="E30" s="37"/>
      <c r="F30" s="37"/>
      <c r="G30" s="38"/>
      <c r="H30" s="47"/>
      <c r="I30" s="47"/>
      <c r="J30" s="47"/>
      <c r="L30" s="172" t="s">
        <v>25</v>
      </c>
      <c r="M30" s="172"/>
      <c r="N30" s="173"/>
      <c r="O30" s="47"/>
      <c r="P30" s="37"/>
      <c r="Q30" s="37"/>
      <c r="U30" s="37"/>
      <c r="V30" s="37"/>
      <c r="W30" s="37"/>
      <c r="X30" s="37"/>
      <c r="Y30" s="37"/>
      <c r="Z30" s="37"/>
      <c r="AA30" s="37"/>
      <c r="AB30" s="47"/>
      <c r="AC30" s="47"/>
      <c r="AD30" s="47"/>
      <c r="AE30" s="291" t="s">
        <v>26</v>
      </c>
      <c r="AF30" s="291"/>
      <c r="AG30" s="292"/>
      <c r="AH30" s="37"/>
      <c r="AI30" s="42"/>
      <c r="AJ30" s="42"/>
      <c r="AK30" s="42"/>
      <c r="AL30" s="37"/>
      <c r="AM30" s="37"/>
      <c r="AN30" s="37"/>
      <c r="AO30" s="37"/>
      <c r="AP30" s="47"/>
      <c r="AQ30" s="47"/>
      <c r="AR30" s="47"/>
      <c r="AS30" s="47"/>
      <c r="AT30" s="172" t="s">
        <v>27</v>
      </c>
      <c r="AU30" s="172"/>
      <c r="AV30" s="173"/>
      <c r="AW30" s="37"/>
      <c r="AX30" s="37"/>
      <c r="BB30" s="37"/>
      <c r="BC30" s="17"/>
      <c r="BD30" s="23"/>
      <c r="BE30" s="23"/>
      <c r="BF30" s="18"/>
    </row>
    <row r="31" spans="2:58" ht="12.6">
      <c r="B31" s="230"/>
      <c r="C31" s="37"/>
      <c r="D31" s="37"/>
      <c r="E31" s="37"/>
      <c r="F31" s="37"/>
      <c r="G31" s="38"/>
      <c r="H31" s="42"/>
      <c r="I31" s="42"/>
      <c r="J31" s="42"/>
      <c r="L31" s="232">
        <f>SUM(N32:N36)</f>
        <v>1090.9319</v>
      </c>
      <c r="M31" s="216"/>
      <c r="N31" s="233"/>
      <c r="O31" s="47"/>
      <c r="P31" s="37"/>
      <c r="Q31" s="37"/>
      <c r="Z31" s="37"/>
      <c r="AA31" s="37"/>
      <c r="AB31" s="47"/>
      <c r="AC31" s="47"/>
      <c r="AD31" s="47"/>
      <c r="AE31" s="293">
        <f>SUM(AG32:AG37)</f>
        <v>1109.28</v>
      </c>
      <c r="AF31" s="294"/>
      <c r="AG31" s="295"/>
      <c r="AH31" s="37"/>
      <c r="AI31" s="42"/>
      <c r="AJ31" s="42"/>
      <c r="AK31" s="42"/>
      <c r="AL31" s="37"/>
      <c r="AM31" s="37"/>
      <c r="AN31" s="37"/>
      <c r="AO31" s="37"/>
      <c r="AP31" s="42"/>
      <c r="AQ31" s="42"/>
      <c r="AR31" s="42"/>
      <c r="AS31" s="42"/>
      <c r="AT31" s="232">
        <f>SUM(AV32:AV37)</f>
        <v>870.3</v>
      </c>
      <c r="AU31" s="216"/>
      <c r="AV31" s="233"/>
      <c r="AW31" s="37"/>
      <c r="AX31" s="37"/>
      <c r="BB31" s="37"/>
      <c r="BC31" s="17"/>
      <c r="BD31" s="23"/>
      <c r="BE31" s="23"/>
      <c r="BF31" s="18"/>
    </row>
    <row r="32" spans="2:58" ht="12.6" customHeight="1">
      <c r="B32" s="230"/>
      <c r="C32" s="37"/>
      <c r="D32" s="37"/>
      <c r="E32" s="37"/>
      <c r="F32" s="37"/>
      <c r="G32" s="38"/>
      <c r="H32" s="39"/>
      <c r="I32" s="37"/>
      <c r="J32" s="37"/>
      <c r="L32" s="389" t="s">
        <v>17</v>
      </c>
      <c r="M32" s="365"/>
      <c r="N32" s="79">
        <v>115.9195</v>
      </c>
      <c r="O32" s="37"/>
      <c r="P32" s="37"/>
      <c r="Q32" s="37"/>
      <c r="Z32" s="37"/>
      <c r="AA32" s="37"/>
      <c r="AB32" s="37"/>
      <c r="AC32" s="37"/>
      <c r="AD32" s="37"/>
      <c r="AE32" s="343" t="s">
        <v>18</v>
      </c>
      <c r="AF32" s="344"/>
      <c r="AG32" s="79">
        <v>99</v>
      </c>
      <c r="AH32" s="37"/>
      <c r="AI32" s="39"/>
      <c r="AJ32" s="37"/>
      <c r="AK32" s="37"/>
      <c r="AL32" s="40"/>
      <c r="AM32" s="40"/>
      <c r="AN32" s="40"/>
      <c r="AO32" s="41"/>
      <c r="AP32" s="39"/>
      <c r="AQ32" s="37"/>
      <c r="AR32" s="37"/>
      <c r="AS32" s="37"/>
      <c r="AT32" s="343" t="s">
        <v>18</v>
      </c>
      <c r="AU32" s="344"/>
      <c r="AV32" s="79">
        <v>69.3</v>
      </c>
      <c r="AW32" s="40"/>
      <c r="AX32" s="40"/>
      <c r="AY32" s="41"/>
      <c r="AZ32" s="37"/>
      <c r="BA32" s="37"/>
      <c r="BB32" s="37"/>
      <c r="BC32" s="17"/>
      <c r="BD32" s="23"/>
      <c r="BE32" s="23"/>
      <c r="BF32" s="18"/>
    </row>
    <row r="33" spans="2:58" ht="12.6" customHeight="1">
      <c r="B33" s="230"/>
      <c r="C33" s="37"/>
      <c r="D33" s="37"/>
      <c r="E33" s="37"/>
      <c r="F33" s="37"/>
      <c r="G33" s="38"/>
      <c r="H33" s="39"/>
      <c r="I33" s="37"/>
      <c r="J33" s="37"/>
      <c r="L33" s="374" t="s">
        <v>18</v>
      </c>
      <c r="M33" s="368"/>
      <c r="N33" s="79">
        <v>75.599999999999994</v>
      </c>
      <c r="O33" s="37"/>
      <c r="P33" s="37"/>
      <c r="Q33" s="37"/>
      <c r="Z33" s="37"/>
      <c r="AA33" s="37"/>
      <c r="AB33" s="37"/>
      <c r="AC33" s="37"/>
      <c r="AD33" s="37"/>
      <c r="AE33" s="341" t="s">
        <v>19</v>
      </c>
      <c r="AF33" s="342"/>
      <c r="AG33" s="79">
        <v>96</v>
      </c>
      <c r="AH33" s="37"/>
      <c r="AI33" s="39"/>
      <c r="AJ33" s="37"/>
      <c r="AK33" s="37"/>
      <c r="AL33" s="40"/>
      <c r="AM33" s="40"/>
      <c r="AN33" s="40"/>
      <c r="AO33" s="41"/>
      <c r="AP33" s="39"/>
      <c r="AQ33" s="37"/>
      <c r="AR33" s="37"/>
      <c r="AS33" s="37"/>
      <c r="AT33" s="341" t="s">
        <v>19</v>
      </c>
      <c r="AU33" s="342"/>
      <c r="AV33" s="79">
        <v>54</v>
      </c>
      <c r="AW33" s="40"/>
      <c r="AX33" s="40"/>
      <c r="AY33" s="41"/>
      <c r="AZ33" s="37"/>
      <c r="BA33" s="37"/>
      <c r="BB33" s="37"/>
      <c r="BC33" s="17"/>
      <c r="BD33" s="23"/>
      <c r="BE33" s="23"/>
      <c r="BF33" s="18"/>
    </row>
    <row r="34" spans="2:58" ht="12.6" customHeight="1">
      <c r="B34" s="230"/>
      <c r="C34" s="37"/>
      <c r="D34" s="37"/>
      <c r="E34" s="37"/>
      <c r="F34" s="37"/>
      <c r="G34" s="38"/>
      <c r="H34" s="39"/>
      <c r="I34" s="37"/>
      <c r="J34" s="37"/>
      <c r="L34" s="374" t="s">
        <v>20</v>
      </c>
      <c r="M34" s="368"/>
      <c r="N34" s="79">
        <v>327.01240000000001</v>
      </c>
      <c r="O34" s="37"/>
      <c r="P34" s="37"/>
      <c r="Q34" s="37"/>
      <c r="Z34" s="37"/>
      <c r="AA34" s="37"/>
      <c r="AB34" s="37"/>
      <c r="AC34" s="37"/>
      <c r="AD34" s="37"/>
      <c r="AE34" s="374" t="s">
        <v>20</v>
      </c>
      <c r="AF34" s="368"/>
      <c r="AG34" s="79">
        <v>264</v>
      </c>
      <c r="AH34" s="37"/>
      <c r="AI34" s="39"/>
      <c r="AJ34" s="37"/>
      <c r="AK34" s="37"/>
      <c r="AL34" s="40"/>
      <c r="AM34" s="40"/>
      <c r="AN34" s="40"/>
      <c r="AO34" s="41"/>
      <c r="AP34" s="39"/>
      <c r="AQ34" s="37"/>
      <c r="AR34" s="37"/>
      <c r="AS34" s="37"/>
      <c r="AT34" s="374" t="s">
        <v>20</v>
      </c>
      <c r="AU34" s="368"/>
      <c r="AV34" s="79">
        <v>216</v>
      </c>
      <c r="AW34" s="40"/>
      <c r="AX34" s="40"/>
      <c r="AY34" s="41"/>
      <c r="AZ34" s="37"/>
      <c r="BA34" s="37"/>
      <c r="BB34" s="37"/>
      <c r="BC34" s="17"/>
      <c r="BD34" s="23"/>
      <c r="BE34" s="23"/>
      <c r="BF34" s="18"/>
    </row>
    <row r="35" spans="2:58" ht="12.6" customHeight="1">
      <c r="B35" s="230"/>
      <c r="C35" s="37"/>
      <c r="D35" s="37"/>
      <c r="E35" s="37"/>
      <c r="F35" s="37"/>
      <c r="G35" s="38"/>
      <c r="H35" s="39"/>
      <c r="I35" s="37"/>
      <c r="J35" s="37"/>
      <c r="L35" s="374" t="s">
        <v>21</v>
      </c>
      <c r="M35" s="368"/>
      <c r="N35" s="79">
        <v>367.2</v>
      </c>
      <c r="O35" s="37"/>
      <c r="P35" s="37"/>
      <c r="Q35" s="37"/>
      <c r="Z35" s="37"/>
      <c r="AA35" s="37"/>
      <c r="AB35" s="37"/>
      <c r="AC35" s="37"/>
      <c r="AD35" s="37"/>
      <c r="AE35" s="343" t="s">
        <v>48</v>
      </c>
      <c r="AF35" s="344"/>
      <c r="AG35" s="79">
        <v>36</v>
      </c>
      <c r="AH35" s="37"/>
      <c r="AI35" s="39"/>
      <c r="AJ35" s="37"/>
      <c r="AK35" s="37"/>
      <c r="AL35" s="40"/>
      <c r="AM35" s="40"/>
      <c r="AN35" s="40"/>
      <c r="AO35" s="41"/>
      <c r="AP35" s="39"/>
      <c r="AQ35" s="37"/>
      <c r="AR35" s="37"/>
      <c r="AS35" s="37"/>
      <c r="AT35" s="343" t="s">
        <v>48</v>
      </c>
      <c r="AU35" s="344"/>
      <c r="AV35" s="79">
        <v>36</v>
      </c>
      <c r="AW35" s="40"/>
      <c r="AX35" s="40"/>
      <c r="AY35" s="41"/>
      <c r="AZ35" s="37"/>
      <c r="BA35" s="37"/>
      <c r="BB35" s="37"/>
      <c r="BC35" s="17"/>
      <c r="BD35" s="23"/>
      <c r="BE35" s="23"/>
      <c r="BF35" s="18"/>
    </row>
    <row r="36" spans="2:58" ht="12.6" customHeight="1">
      <c r="B36" s="230"/>
      <c r="C36" s="37"/>
      <c r="D36" s="37"/>
      <c r="E36" s="37"/>
      <c r="F36" s="37"/>
      <c r="G36" s="38"/>
      <c r="H36" s="39"/>
      <c r="I36" s="37"/>
      <c r="J36" s="37"/>
      <c r="L36" s="374" t="s">
        <v>22</v>
      </c>
      <c r="M36" s="368"/>
      <c r="N36" s="79">
        <v>205.2</v>
      </c>
      <c r="O36" s="37"/>
      <c r="P36" s="37"/>
      <c r="Q36" s="37"/>
      <c r="Z36" s="37"/>
      <c r="AA36" s="37"/>
      <c r="AB36" s="37"/>
      <c r="AC36" s="37"/>
      <c r="AD36" s="37"/>
      <c r="AE36" s="343" t="s">
        <v>21</v>
      </c>
      <c r="AF36" s="344"/>
      <c r="AG36" s="79">
        <v>416.28</v>
      </c>
      <c r="AH36" s="37"/>
      <c r="AI36" s="39"/>
      <c r="AJ36" s="37"/>
      <c r="AK36" s="37"/>
      <c r="AL36" s="40"/>
      <c r="AM36" s="40"/>
      <c r="AN36" s="40"/>
      <c r="AO36" s="41"/>
      <c r="AP36" s="39"/>
      <c r="AQ36" s="37"/>
      <c r="AR36" s="37"/>
      <c r="AS36" s="37"/>
      <c r="AT36" s="343" t="s">
        <v>21</v>
      </c>
      <c r="AU36" s="344"/>
      <c r="AV36" s="79">
        <v>306</v>
      </c>
      <c r="AW36" s="40"/>
      <c r="AX36" s="40"/>
      <c r="AY36" s="41"/>
      <c r="AZ36" s="37"/>
      <c r="BA36" s="37"/>
      <c r="BB36" s="37"/>
      <c r="BC36" s="17"/>
      <c r="BD36" s="23"/>
      <c r="BE36" s="23"/>
      <c r="BF36" s="18"/>
    </row>
    <row r="37" spans="2:58" ht="12.6" customHeight="1">
      <c r="B37" s="230"/>
      <c r="C37" s="37"/>
      <c r="D37" s="37"/>
      <c r="E37" s="37"/>
      <c r="F37" s="37"/>
      <c r="G37" s="38"/>
      <c r="H37" s="39"/>
      <c r="I37" s="37"/>
      <c r="J37" s="37"/>
      <c r="L37" s="80">
        <v>363.64400000000001</v>
      </c>
      <c r="M37" s="81">
        <v>363.64400000000001</v>
      </c>
      <c r="N37" s="82">
        <v>363.64400000000001</v>
      </c>
      <c r="O37" s="37"/>
      <c r="P37" s="37"/>
      <c r="Q37" s="37"/>
      <c r="Z37" s="37"/>
      <c r="AA37" s="37"/>
      <c r="AB37" s="37"/>
      <c r="AC37" s="37"/>
      <c r="AD37" s="37"/>
      <c r="AE37" s="343" t="s">
        <v>22</v>
      </c>
      <c r="AF37" s="344"/>
      <c r="AG37" s="79">
        <v>198</v>
      </c>
      <c r="AH37" s="37"/>
      <c r="AI37" s="39"/>
      <c r="AJ37" s="37"/>
      <c r="AK37" s="37"/>
      <c r="AL37" s="40"/>
      <c r="AM37" s="40"/>
      <c r="AN37" s="40"/>
      <c r="AO37" s="41"/>
      <c r="AP37" s="39"/>
      <c r="AQ37" s="37"/>
      <c r="AR37" s="37"/>
      <c r="AS37" s="37"/>
      <c r="AT37" s="374" t="s">
        <v>22</v>
      </c>
      <c r="AU37" s="368"/>
      <c r="AV37" s="79">
        <v>189</v>
      </c>
      <c r="AW37" s="40"/>
      <c r="AX37" s="40"/>
      <c r="AY37" s="41"/>
      <c r="AZ37" s="37"/>
      <c r="BA37" s="37"/>
      <c r="BB37" s="37"/>
      <c r="BC37" s="17"/>
      <c r="BD37" s="23"/>
      <c r="BE37" s="23"/>
      <c r="BF37" s="18"/>
    </row>
    <row r="38" spans="2:58" ht="12.6" customHeight="1">
      <c r="B38" s="230"/>
      <c r="C38" s="37"/>
      <c r="D38" s="37"/>
      <c r="E38" s="37"/>
      <c r="F38" s="37"/>
      <c r="G38" s="38"/>
      <c r="H38" s="39"/>
      <c r="I38" s="37"/>
      <c r="J38" s="37"/>
      <c r="N38" s="37"/>
      <c r="O38" s="37"/>
      <c r="P38" s="37"/>
      <c r="Q38" s="37"/>
      <c r="R38" s="37"/>
      <c r="S38" s="37"/>
      <c r="Z38" s="37"/>
      <c r="AA38" s="37"/>
      <c r="AB38" s="37"/>
      <c r="AC38" s="37"/>
      <c r="AD38" s="37"/>
      <c r="AE38" s="80">
        <v>369.76</v>
      </c>
      <c r="AF38" s="81">
        <v>369.76</v>
      </c>
      <c r="AG38" s="82">
        <v>369.76</v>
      </c>
      <c r="AH38" s="37"/>
      <c r="AI38" s="39"/>
      <c r="AJ38" s="37"/>
      <c r="AK38" s="37"/>
      <c r="AL38" s="40"/>
      <c r="AM38" s="40"/>
      <c r="AN38" s="40"/>
      <c r="AO38" s="41"/>
      <c r="AP38" s="39"/>
      <c r="AQ38" s="37"/>
      <c r="AR38" s="37"/>
      <c r="AS38" s="37"/>
      <c r="AT38" s="80">
        <v>290.10000000000002</v>
      </c>
      <c r="AU38" s="81">
        <v>290.10000000000002</v>
      </c>
      <c r="AV38" s="82">
        <v>290.10000000000002</v>
      </c>
      <c r="AW38" s="40"/>
      <c r="AX38" s="40"/>
      <c r="AY38" s="41"/>
      <c r="AZ38" s="37"/>
      <c r="BA38" s="37"/>
      <c r="BB38" s="37"/>
      <c r="BC38" s="17"/>
      <c r="BD38" s="23"/>
      <c r="BE38" s="23"/>
      <c r="BF38" s="18"/>
    </row>
    <row r="39" spans="2:58" ht="12.6" customHeight="1">
      <c r="B39" s="230"/>
      <c r="C39" s="37"/>
      <c r="D39" s="37"/>
      <c r="E39" s="37"/>
      <c r="F39" s="37"/>
      <c r="G39" s="38"/>
      <c r="H39" s="39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Z39" s="37"/>
      <c r="AA39" s="37"/>
      <c r="AB39" s="37"/>
      <c r="AC39" s="37"/>
      <c r="AD39" s="37"/>
      <c r="AE39" s="37"/>
      <c r="AF39" s="37"/>
      <c r="AG39" s="37"/>
      <c r="AH39" s="37"/>
      <c r="AI39" s="39"/>
      <c r="AJ39" s="37"/>
      <c r="AK39" s="37"/>
      <c r="AL39" s="40"/>
      <c r="AM39" s="40"/>
      <c r="AN39" s="40"/>
      <c r="AO39" s="41"/>
      <c r="AP39" s="39"/>
      <c r="AQ39" s="37"/>
      <c r="AR39" s="37"/>
      <c r="AS39" s="37"/>
      <c r="AT39" s="37"/>
      <c r="AU39" s="40"/>
      <c r="AV39" s="40"/>
      <c r="AW39" s="40"/>
      <c r="AX39" s="40"/>
      <c r="AY39" s="41"/>
      <c r="AZ39" s="37"/>
      <c r="BA39" s="37"/>
      <c r="BB39" s="37"/>
      <c r="BC39" s="17"/>
      <c r="BD39" s="23"/>
      <c r="BE39" s="23"/>
      <c r="BF39" s="18"/>
    </row>
    <row r="40" spans="2:58" ht="12.6" customHeight="1">
      <c r="B40" s="230"/>
      <c r="C40" s="37"/>
      <c r="D40" s="37"/>
      <c r="E40" s="37"/>
      <c r="F40" s="37"/>
      <c r="G40" s="299" t="s">
        <v>28</v>
      </c>
      <c r="H40" s="299"/>
      <c r="I40" s="299"/>
      <c r="J40" s="292"/>
      <c r="K40" s="37"/>
      <c r="L40" s="37"/>
      <c r="M40" s="37"/>
      <c r="R40" s="37"/>
      <c r="S40" s="37"/>
      <c r="Z40" s="37"/>
      <c r="AA40" s="37"/>
      <c r="AB40" s="37"/>
      <c r="AC40" s="37"/>
      <c r="AD40" s="37"/>
      <c r="AE40" s="37"/>
      <c r="AF40" s="299" t="s">
        <v>28</v>
      </c>
      <c r="AG40" s="299"/>
      <c r="AH40" s="299"/>
      <c r="AI40" s="292"/>
      <c r="AN40" s="40"/>
      <c r="AO40" s="41"/>
      <c r="AP40" s="39"/>
      <c r="AQ40" s="37"/>
      <c r="AR40" s="37"/>
      <c r="AS40" s="37"/>
      <c r="AT40" s="37"/>
      <c r="AU40" s="40"/>
      <c r="AV40" s="40"/>
      <c r="AW40" s="40"/>
      <c r="AX40" s="40"/>
      <c r="AY40" s="41"/>
      <c r="AZ40" s="37"/>
      <c r="BA40" s="37"/>
      <c r="BB40" s="37"/>
      <c r="BC40" s="17"/>
      <c r="BD40" s="23"/>
      <c r="BE40" s="23"/>
      <c r="BF40" s="18"/>
    </row>
    <row r="41" spans="2:58" ht="12.6" customHeight="1">
      <c r="B41" s="230"/>
      <c r="C41" s="37"/>
      <c r="D41" s="37"/>
      <c r="E41" s="37"/>
      <c r="F41" s="37"/>
      <c r="G41" s="300">
        <f>SUM(J42:J47)</f>
        <v>1449.2282500000001</v>
      </c>
      <c r="H41" s="300"/>
      <c r="I41" s="300"/>
      <c r="J41" s="301"/>
      <c r="K41" s="37"/>
      <c r="L41" s="37"/>
      <c r="M41" s="37"/>
      <c r="R41" s="37"/>
      <c r="S41" s="37"/>
      <c r="Z41" s="37"/>
      <c r="AA41" s="37"/>
      <c r="AB41" s="37"/>
      <c r="AC41" s="37"/>
      <c r="AD41" s="37"/>
      <c r="AE41" s="37"/>
      <c r="AF41" s="300">
        <f>SUM(AI42:AI47)</f>
        <v>1708.60635</v>
      </c>
      <c r="AG41" s="300"/>
      <c r="AH41" s="300"/>
      <c r="AI41" s="301"/>
      <c r="AN41" s="40"/>
      <c r="AO41" s="41"/>
      <c r="AP41" s="39"/>
      <c r="AQ41" s="37"/>
      <c r="AR41" s="37"/>
      <c r="AS41" s="37"/>
      <c r="AT41" s="37"/>
      <c r="AU41" s="40"/>
      <c r="AV41" s="40"/>
      <c r="AW41" s="40"/>
      <c r="AX41" s="40"/>
      <c r="AY41" s="41"/>
      <c r="AZ41" s="37"/>
      <c r="BA41" s="37"/>
      <c r="BB41" s="37"/>
      <c r="BC41" s="17"/>
      <c r="BD41" s="23"/>
      <c r="BE41" s="23"/>
      <c r="BF41" s="18"/>
    </row>
    <row r="42" spans="2:58" ht="12.6" customHeight="1">
      <c r="B42" s="230"/>
      <c r="C42" s="37"/>
      <c r="D42" s="37"/>
      <c r="E42" s="37"/>
      <c r="F42" s="37"/>
      <c r="G42" s="72" t="s">
        <v>17</v>
      </c>
      <c r="H42" s="73"/>
      <c r="I42" s="74"/>
      <c r="J42" s="79">
        <v>61.814950000000003</v>
      </c>
      <c r="K42" s="37"/>
      <c r="L42" s="37"/>
      <c r="M42" s="37"/>
      <c r="R42" s="37"/>
      <c r="S42" s="37"/>
      <c r="Z42" s="37"/>
      <c r="AA42" s="37"/>
      <c r="AB42" s="37"/>
      <c r="AC42" s="37"/>
      <c r="AD42" s="37"/>
      <c r="AE42" s="37"/>
      <c r="AF42" s="72" t="s">
        <v>17</v>
      </c>
      <c r="AG42" s="73"/>
      <c r="AH42" s="74"/>
      <c r="AI42" s="79">
        <v>91.176349999999999</v>
      </c>
      <c r="AN42" s="40"/>
      <c r="AO42" s="41"/>
      <c r="AP42" s="39"/>
      <c r="AQ42" s="37"/>
      <c r="AR42" s="37"/>
      <c r="AS42" s="37"/>
      <c r="AT42" s="37"/>
      <c r="AU42" s="40"/>
      <c r="AV42" s="40"/>
      <c r="AW42" s="40"/>
      <c r="AX42" s="40"/>
      <c r="AY42" s="41"/>
      <c r="AZ42" s="37"/>
      <c r="BA42" s="37"/>
      <c r="BB42" s="37"/>
      <c r="BC42" s="17"/>
      <c r="BD42" s="23"/>
      <c r="BE42" s="23"/>
      <c r="BF42" s="18"/>
    </row>
    <row r="43" spans="2:58" ht="12.6" customHeight="1">
      <c r="B43" s="230"/>
      <c r="C43" s="37"/>
      <c r="D43" s="37"/>
      <c r="E43" s="37"/>
      <c r="F43" s="37"/>
      <c r="G43" s="72" t="s">
        <v>18</v>
      </c>
      <c r="H43" s="73"/>
      <c r="I43" s="74"/>
      <c r="J43" s="79">
        <v>167.11</v>
      </c>
      <c r="K43" s="37"/>
      <c r="L43" s="37"/>
      <c r="M43" s="37"/>
      <c r="R43" s="37"/>
      <c r="S43" s="37"/>
      <c r="Z43" s="37"/>
      <c r="AA43" s="37"/>
      <c r="AB43" s="37"/>
      <c r="AC43" s="37"/>
      <c r="AD43" s="37"/>
      <c r="AE43" s="37"/>
      <c r="AF43" s="72" t="s">
        <v>18</v>
      </c>
      <c r="AG43" s="73"/>
      <c r="AH43" s="74"/>
      <c r="AI43" s="79">
        <v>172.55629999999999</v>
      </c>
      <c r="AN43" s="40"/>
      <c r="AO43" s="41"/>
      <c r="AP43" s="39"/>
      <c r="AQ43" s="37"/>
      <c r="AR43" s="37"/>
      <c r="AS43" s="37"/>
      <c r="AT43" s="37"/>
      <c r="AU43" s="40"/>
      <c r="AV43" s="40"/>
      <c r="AW43" s="40"/>
      <c r="AX43" s="40"/>
      <c r="AY43" s="41"/>
      <c r="AZ43" s="37"/>
      <c r="BA43" s="37"/>
      <c r="BB43" s="37"/>
      <c r="BC43" s="17"/>
      <c r="BD43" s="23"/>
      <c r="BE43" s="23"/>
      <c r="BF43" s="18"/>
    </row>
    <row r="44" spans="2:58" ht="12.6" customHeight="1">
      <c r="B44" s="230"/>
      <c r="C44" s="37"/>
      <c r="D44" s="37"/>
      <c r="E44" s="37"/>
      <c r="F44" s="37"/>
      <c r="G44" s="72" t="s">
        <v>19</v>
      </c>
      <c r="H44" s="73"/>
      <c r="I44" s="74"/>
      <c r="J44" s="79">
        <v>123</v>
      </c>
      <c r="K44" s="37"/>
      <c r="L44" s="37"/>
      <c r="M44" s="37"/>
      <c r="R44" s="37"/>
      <c r="S44" s="37"/>
      <c r="Z44" s="37"/>
      <c r="AA44" s="37"/>
      <c r="AB44" s="37"/>
      <c r="AC44" s="37"/>
      <c r="AD44" s="37"/>
      <c r="AE44" s="37"/>
      <c r="AF44" s="72" t="s">
        <v>19</v>
      </c>
      <c r="AG44" s="73"/>
      <c r="AH44" s="74"/>
      <c r="AI44" s="79">
        <v>216</v>
      </c>
      <c r="AN44" s="40"/>
      <c r="AO44" s="41"/>
      <c r="AP44" s="39"/>
      <c r="AQ44" s="37"/>
      <c r="AR44" s="37"/>
      <c r="AS44" s="37"/>
      <c r="AT44" s="37"/>
      <c r="AU44" s="40"/>
      <c r="AV44" s="40"/>
      <c r="AW44" s="40"/>
      <c r="AX44" s="40"/>
      <c r="AY44" s="41"/>
      <c r="AZ44" s="37"/>
      <c r="BA44" s="37"/>
      <c r="BB44" s="37"/>
      <c r="BC44" s="17"/>
      <c r="BD44" s="23"/>
      <c r="BE44" s="23"/>
      <c r="BF44" s="18"/>
    </row>
    <row r="45" spans="2:58" ht="12.6" customHeight="1">
      <c r="B45" s="230"/>
      <c r="C45" s="37"/>
      <c r="D45" s="37"/>
      <c r="E45" s="37"/>
      <c r="F45" s="37"/>
      <c r="G45" s="72" t="s">
        <v>20</v>
      </c>
      <c r="H45" s="73"/>
      <c r="I45" s="74"/>
      <c r="J45" s="79">
        <v>250</v>
      </c>
      <c r="K45" s="37"/>
      <c r="L45" s="37"/>
      <c r="M45" s="37"/>
      <c r="R45" s="37"/>
      <c r="S45" s="37"/>
      <c r="Z45" s="37"/>
      <c r="AA45" s="37"/>
      <c r="AB45" s="37"/>
      <c r="AC45" s="37"/>
      <c r="AD45" s="37"/>
      <c r="AE45" s="37"/>
      <c r="AF45" s="72" t="s">
        <v>20</v>
      </c>
      <c r="AG45" s="73"/>
      <c r="AH45" s="74"/>
      <c r="AI45" s="79">
        <v>389.35</v>
      </c>
      <c r="AN45" s="40"/>
      <c r="AO45" s="41"/>
      <c r="AP45" s="39"/>
      <c r="AQ45" s="37"/>
      <c r="AR45" s="37"/>
      <c r="AS45" s="37"/>
      <c r="AT45" s="37"/>
      <c r="AU45" s="40"/>
      <c r="AV45" s="40"/>
      <c r="AW45" s="40"/>
      <c r="AX45" s="40"/>
      <c r="AY45" s="41"/>
      <c r="AZ45" s="37"/>
      <c r="BA45" s="37"/>
      <c r="BB45" s="37"/>
      <c r="BC45" s="17"/>
      <c r="BD45" s="23"/>
      <c r="BE45" s="23"/>
      <c r="BF45" s="18"/>
    </row>
    <row r="46" spans="2:58" ht="12.6" customHeight="1">
      <c r="B46" s="230"/>
      <c r="C46" s="37"/>
      <c r="D46" s="37"/>
      <c r="E46" s="37"/>
      <c r="F46" s="37"/>
      <c r="G46" s="72" t="s">
        <v>21</v>
      </c>
      <c r="H46" s="73"/>
      <c r="I46" s="74"/>
      <c r="J46" s="79">
        <v>567.30330000000004</v>
      </c>
      <c r="K46" s="37"/>
      <c r="L46" s="37"/>
      <c r="M46" s="37"/>
      <c r="R46" s="37"/>
      <c r="S46" s="37"/>
      <c r="Z46" s="37"/>
      <c r="AA46" s="37"/>
      <c r="AB46" s="37"/>
      <c r="AC46" s="37"/>
      <c r="AD46" s="37"/>
      <c r="AE46" s="37"/>
      <c r="AF46" s="72" t="s">
        <v>21</v>
      </c>
      <c r="AG46" s="73"/>
      <c r="AH46" s="74"/>
      <c r="AI46" s="79">
        <v>599.52369999999996</v>
      </c>
      <c r="AN46" s="40"/>
      <c r="AO46" s="41"/>
      <c r="AP46" s="39"/>
      <c r="AQ46" s="37"/>
      <c r="AR46" s="37"/>
      <c r="AS46" s="37"/>
      <c r="AT46" s="37"/>
      <c r="AU46" s="40"/>
      <c r="AV46" s="40"/>
      <c r="AW46" s="40"/>
      <c r="AX46" s="40"/>
      <c r="AY46" s="41"/>
      <c r="AZ46" s="37"/>
      <c r="BA46" s="37"/>
      <c r="BB46" s="37"/>
      <c r="BC46" s="17"/>
      <c r="BD46" s="23"/>
      <c r="BE46" s="23"/>
      <c r="BF46" s="18"/>
    </row>
    <row r="47" spans="2:58" ht="12.6" customHeight="1">
      <c r="B47" s="230"/>
      <c r="C47" s="37"/>
      <c r="D47" s="37"/>
      <c r="E47" s="37"/>
      <c r="F47" s="37"/>
      <c r="G47" s="72" t="s">
        <v>22</v>
      </c>
      <c r="H47" s="73"/>
      <c r="I47" s="74"/>
      <c r="J47" s="79">
        <v>280</v>
      </c>
      <c r="K47" s="37"/>
      <c r="L47" s="37"/>
      <c r="M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72" t="s">
        <v>22</v>
      </c>
      <c r="AG47" s="73"/>
      <c r="AH47" s="74"/>
      <c r="AI47" s="79">
        <v>240</v>
      </c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17"/>
      <c r="BD47" s="23"/>
      <c r="BE47" s="23"/>
      <c r="BF47" s="18"/>
    </row>
    <row r="48" spans="2:58" ht="12.6" customHeight="1">
      <c r="B48" s="230"/>
      <c r="C48" s="37"/>
      <c r="D48" s="37"/>
      <c r="E48" s="37"/>
      <c r="F48" s="37"/>
      <c r="G48" s="80">
        <v>362.30709999999999</v>
      </c>
      <c r="H48" s="81">
        <v>362.30709999999999</v>
      </c>
      <c r="I48" s="81">
        <v>362.30709999999999</v>
      </c>
      <c r="J48" s="82">
        <v>362.30709999999999</v>
      </c>
      <c r="L48" s="37"/>
      <c r="M48" s="37"/>
      <c r="R48"/>
      <c r="S48" s="37"/>
      <c r="T48" s="40"/>
      <c r="U48" s="40"/>
      <c r="V48" s="41"/>
      <c r="W48" s="37"/>
      <c r="X48" s="37"/>
      <c r="Y48" s="37"/>
      <c r="Z48" s="37"/>
      <c r="AA48" s="37"/>
      <c r="AB48" s="37"/>
      <c r="AC48" s="37"/>
      <c r="AD48" s="37"/>
      <c r="AE48" s="37"/>
      <c r="AF48" s="80">
        <v>427.15159999999997</v>
      </c>
      <c r="AG48" s="81">
        <v>427.15159999999997</v>
      </c>
      <c r="AH48" s="81">
        <v>427.15159999999997</v>
      </c>
      <c r="AI48" s="82">
        <v>427.15159999999997</v>
      </c>
      <c r="AN48" s="40"/>
      <c r="AO48" s="41"/>
      <c r="AP48" s="42"/>
      <c r="AQ48" s="42"/>
      <c r="AR48" s="42"/>
      <c r="AS48" s="42"/>
      <c r="AT48" s="42"/>
      <c r="AU48" s="40"/>
      <c r="AV48" s="40"/>
      <c r="AW48" s="40"/>
      <c r="AX48" s="40"/>
      <c r="AY48" s="41"/>
      <c r="AZ48" s="37"/>
      <c r="BA48" s="37"/>
      <c r="BB48" s="37"/>
      <c r="BC48" s="17"/>
      <c r="BD48" s="23"/>
      <c r="BE48" s="23"/>
      <c r="BF48" s="18"/>
    </row>
    <row r="49" spans="2:58" s="13" customFormat="1" ht="12.6" customHeight="1">
      <c r="B49" s="230"/>
      <c r="C49" s="42"/>
      <c r="D49" s="42"/>
      <c r="E49" s="42"/>
      <c r="F49" s="42"/>
      <c r="G49" s="43"/>
      <c r="H49" s="113"/>
      <c r="I49" s="113"/>
      <c r="J49" s="113"/>
      <c r="K49" s="113"/>
      <c r="L49" s="44"/>
      <c r="M49" s="44"/>
      <c r="N49" s="44"/>
      <c r="O49"/>
      <c r="P49"/>
      <c r="Q49"/>
      <c r="R49"/>
      <c r="S49" s="42"/>
      <c r="T49" s="44"/>
      <c r="U49" s="44"/>
      <c r="V49" s="44"/>
      <c r="W49" s="42"/>
      <c r="X49" s="42"/>
      <c r="Y49" s="42"/>
      <c r="Z49" s="42"/>
      <c r="AA49" s="44"/>
      <c r="AB49" s="44"/>
      <c r="AC49" s="44"/>
      <c r="AD49" s="44"/>
      <c r="AE49" s="44"/>
      <c r="AF49" s="44"/>
      <c r="AG49" s="44"/>
      <c r="AH49" s="44"/>
      <c r="AI49" s="113"/>
      <c r="AJ49" s="113"/>
      <c r="AK49" s="113"/>
      <c r="AL49" s="44"/>
      <c r="AM49" s="44"/>
      <c r="AN49" s="44"/>
      <c r="AO49" s="44"/>
      <c r="AP49" s="42"/>
      <c r="AQ49" s="42"/>
      <c r="AR49" s="42"/>
      <c r="AS49" s="42"/>
      <c r="AT49" s="42"/>
      <c r="AU49" s="44"/>
      <c r="AV49" s="44"/>
      <c r="AW49" s="44"/>
      <c r="AX49" s="44"/>
      <c r="AY49" s="44"/>
      <c r="AZ49" s="42"/>
      <c r="BA49" s="42"/>
      <c r="BB49" s="42"/>
      <c r="BC49" s="221">
        <f>SUM(C31:BB31, C41:BB41)</f>
        <v>6228.3465000000006</v>
      </c>
      <c r="BD49" s="168"/>
      <c r="BE49" s="168"/>
      <c r="BF49" s="222"/>
    </row>
    <row r="50" spans="2:58" ht="12.6" customHeight="1">
      <c r="B50" s="12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11"/>
      <c r="BC50" s="19"/>
      <c r="BD50" s="20"/>
      <c r="BE50" s="20"/>
      <c r="BF50" s="21"/>
    </row>
    <row r="51" spans="2:58" ht="12.6" customHeight="1">
      <c r="B51" s="224" t="s">
        <v>29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149"/>
      <c r="BD51" s="150"/>
      <c r="BE51" s="150"/>
      <c r="BF51" s="151"/>
    </row>
    <row r="52" spans="2:58" ht="12.6" customHeight="1">
      <c r="B52" s="225"/>
      <c r="C52" s="36"/>
      <c r="D52" s="36"/>
      <c r="E52" s="36"/>
      <c r="F52" s="36"/>
      <c r="L52" s="36"/>
      <c r="M52" s="36"/>
      <c r="N52"/>
      <c r="O52"/>
      <c r="P52"/>
      <c r="Q52"/>
      <c r="R52"/>
      <c r="S52" s="36"/>
      <c r="T52" s="36"/>
      <c r="U52" s="302" t="s">
        <v>30</v>
      </c>
      <c r="V52" s="303"/>
      <c r="W52" s="303"/>
      <c r="X52" s="303"/>
      <c r="Y52" s="304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212" t="s">
        <v>30</v>
      </c>
      <c r="AK52" s="213"/>
      <c r="AL52" s="214"/>
      <c r="AP52"/>
      <c r="AQ52" s="36"/>
      <c r="AR52" s="36"/>
      <c r="AS52" s="36"/>
      <c r="AT52" s="36"/>
      <c r="AU52" s="296" t="s">
        <v>30</v>
      </c>
      <c r="AV52" s="297"/>
      <c r="AW52" s="298"/>
      <c r="AX52"/>
      <c r="AY52" s="47"/>
      <c r="AZ52" s="47"/>
      <c r="BA52" s="47"/>
      <c r="BB52" s="36"/>
      <c r="BC52" s="149"/>
      <c r="BD52" s="150"/>
      <c r="BE52" s="150"/>
      <c r="BF52" s="151"/>
    </row>
    <row r="53" spans="2:58" ht="12.6" customHeight="1">
      <c r="B53" s="225"/>
      <c r="C53" s="36"/>
      <c r="D53" s="36"/>
      <c r="E53" s="36"/>
      <c r="F53" s="36"/>
      <c r="L53" s="36"/>
      <c r="M53" s="36"/>
      <c r="N53"/>
      <c r="O53"/>
      <c r="P53"/>
      <c r="Q53"/>
      <c r="R53"/>
      <c r="S53" s="36"/>
      <c r="T53" s="36"/>
      <c r="U53" s="300">
        <f>SUM(Y54:Y59)</f>
        <v>1773.25</v>
      </c>
      <c r="V53" s="305"/>
      <c r="W53" s="305"/>
      <c r="X53" s="305"/>
      <c r="Y53" s="30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218">
        <f>SUM(AL54:AL59)</f>
        <v>1170</v>
      </c>
      <c r="AK53" s="219"/>
      <c r="AL53" s="220"/>
      <c r="AP53"/>
      <c r="AQ53" s="36"/>
      <c r="AR53" s="36"/>
      <c r="AS53" s="36"/>
      <c r="AT53" s="36"/>
      <c r="AU53" s="232">
        <f>SUM(AW54:AW59)</f>
        <v>1115.4649999999999</v>
      </c>
      <c r="AV53" s="216"/>
      <c r="AW53" s="233"/>
      <c r="AX53"/>
      <c r="AY53" s="42"/>
      <c r="AZ53" s="42"/>
      <c r="BA53" s="42"/>
      <c r="BB53" s="36"/>
      <c r="BC53" s="149"/>
      <c r="BD53" s="150"/>
      <c r="BE53" s="150"/>
      <c r="BF53" s="151"/>
    </row>
    <row r="54" spans="2:58" ht="12.6" customHeight="1">
      <c r="B54" s="225"/>
      <c r="C54" s="36"/>
      <c r="D54" s="36"/>
      <c r="E54" s="36"/>
      <c r="F54" s="36"/>
      <c r="L54" s="36"/>
      <c r="M54" s="36"/>
      <c r="N54" s="36"/>
      <c r="O54" s="36"/>
      <c r="P54" s="36"/>
      <c r="Q54" s="36"/>
      <c r="R54" s="36"/>
      <c r="S54" s="36"/>
      <c r="T54" s="36"/>
      <c r="U54" s="72" t="s">
        <v>17</v>
      </c>
      <c r="V54" s="73"/>
      <c r="W54" s="73"/>
      <c r="X54" s="73"/>
      <c r="Y54" s="129">
        <v>61.5</v>
      </c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4" t="s">
        <v>17</v>
      </c>
      <c r="AK54" s="365"/>
      <c r="AL54" s="88">
        <v>23.4</v>
      </c>
      <c r="AP54" s="36"/>
      <c r="AQ54" s="36"/>
      <c r="AR54" s="36"/>
      <c r="AS54" s="36"/>
      <c r="AT54" s="36"/>
      <c r="AU54" s="341" t="s">
        <v>17</v>
      </c>
      <c r="AV54" s="342"/>
      <c r="AW54" s="75">
        <v>23.4</v>
      </c>
      <c r="AX54" s="36"/>
      <c r="AY54" s="36"/>
      <c r="AZ54" s="36"/>
      <c r="BA54" s="36"/>
      <c r="BB54" s="36"/>
      <c r="BC54" s="149"/>
      <c r="BD54" s="150"/>
      <c r="BE54" s="150"/>
      <c r="BF54" s="151"/>
    </row>
    <row r="55" spans="2:58" ht="12.6" customHeight="1">
      <c r="B55" s="225"/>
      <c r="C55" s="36"/>
      <c r="D55" s="36"/>
      <c r="E55" s="36"/>
      <c r="F55" s="36"/>
      <c r="L55" s="36"/>
      <c r="M55" s="36"/>
      <c r="N55" s="36"/>
      <c r="O55" s="36"/>
      <c r="P55" s="36"/>
      <c r="Q55" s="36"/>
      <c r="R55" s="36"/>
      <c r="S55" s="36"/>
      <c r="T55" s="36"/>
      <c r="U55" s="72" t="s">
        <v>18</v>
      </c>
      <c r="V55" s="73"/>
      <c r="W55" s="73"/>
      <c r="X55" s="73"/>
      <c r="Y55" s="129">
        <v>30.75</v>
      </c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7" t="s">
        <v>18</v>
      </c>
      <c r="AK55" s="368"/>
      <c r="AL55" s="88">
        <v>140.4</v>
      </c>
      <c r="AP55" s="36"/>
      <c r="AQ55" s="36"/>
      <c r="AR55" s="36"/>
      <c r="AS55" s="36"/>
      <c r="AT55" s="36"/>
      <c r="AU55" s="343" t="s">
        <v>18</v>
      </c>
      <c r="AV55" s="344"/>
      <c r="AW55" s="75">
        <v>88.92</v>
      </c>
      <c r="AX55" s="36"/>
      <c r="AY55" s="36"/>
      <c r="AZ55" s="36"/>
      <c r="BA55" s="36"/>
      <c r="BB55" s="36"/>
      <c r="BC55" s="149"/>
      <c r="BD55" s="150"/>
      <c r="BE55" s="150"/>
      <c r="BF55" s="151"/>
    </row>
    <row r="56" spans="2:58" ht="12.6" customHeight="1">
      <c r="B56" s="225"/>
      <c r="C56" s="36"/>
      <c r="D56" s="36"/>
      <c r="E56" s="36"/>
      <c r="F56" s="36"/>
      <c r="L56" s="36"/>
      <c r="M56" s="36"/>
      <c r="N56" s="36"/>
      <c r="O56" s="36"/>
      <c r="P56" s="36"/>
      <c r="Q56" s="36"/>
      <c r="R56" s="36"/>
      <c r="S56" s="36"/>
      <c r="T56" s="36"/>
      <c r="U56" s="72" t="s">
        <v>19</v>
      </c>
      <c r="V56" s="73"/>
      <c r="W56" s="73"/>
      <c r="X56" s="73"/>
      <c r="Y56" s="129">
        <v>102.5</v>
      </c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4" t="s">
        <v>19</v>
      </c>
      <c r="AK56" s="365"/>
      <c r="AL56" s="88">
        <v>81.900000000000006</v>
      </c>
      <c r="AP56" s="36"/>
      <c r="AQ56" s="36"/>
      <c r="AR56" s="36"/>
      <c r="AS56" s="36"/>
      <c r="AT56" s="36"/>
      <c r="AU56" s="341" t="s">
        <v>19</v>
      </c>
      <c r="AV56" s="342"/>
      <c r="AW56" s="75">
        <v>81.900000000000006</v>
      </c>
      <c r="AX56" s="36"/>
      <c r="AY56" s="36"/>
      <c r="AZ56" s="36"/>
      <c r="BA56" s="36"/>
      <c r="BB56" s="36"/>
      <c r="BC56" s="149"/>
      <c r="BD56" s="150"/>
      <c r="BE56" s="150"/>
      <c r="BF56" s="151"/>
    </row>
    <row r="57" spans="2:58" ht="12.6" customHeight="1">
      <c r="B57" s="225"/>
      <c r="C57" s="36"/>
      <c r="D57" s="36"/>
      <c r="E57" s="36"/>
      <c r="F57" s="36"/>
      <c r="L57" s="36"/>
      <c r="M57" s="36"/>
      <c r="N57" s="36"/>
      <c r="O57" s="36"/>
      <c r="P57" s="36"/>
      <c r="Q57" s="36"/>
      <c r="R57" s="36"/>
      <c r="S57" s="36"/>
      <c r="T57" s="36"/>
      <c r="U57" s="72" t="s">
        <v>20</v>
      </c>
      <c r="V57" s="73"/>
      <c r="W57" s="73"/>
      <c r="X57" s="73"/>
      <c r="Y57" s="129">
        <v>348.5</v>
      </c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7" t="s">
        <v>20</v>
      </c>
      <c r="AK57" s="368"/>
      <c r="AL57" s="88">
        <v>234</v>
      </c>
      <c r="AP57" s="36"/>
      <c r="AQ57" s="36"/>
      <c r="AR57" s="36"/>
      <c r="AS57" s="36"/>
      <c r="AT57" s="36"/>
      <c r="AU57" s="343" t="s">
        <v>20</v>
      </c>
      <c r="AV57" s="344"/>
      <c r="AW57" s="75">
        <v>245.7</v>
      </c>
      <c r="AX57" s="36"/>
      <c r="AY57" s="36"/>
      <c r="AZ57" s="36"/>
      <c r="BA57" s="36"/>
      <c r="BB57" s="36"/>
      <c r="BC57" s="149"/>
      <c r="BD57" s="150"/>
      <c r="BE57" s="150"/>
      <c r="BF57" s="151"/>
    </row>
    <row r="58" spans="2:58" ht="12.6" customHeight="1">
      <c r="B58" s="225"/>
      <c r="C58" s="36"/>
      <c r="D58" s="36"/>
      <c r="E58" s="36"/>
      <c r="F58" s="36"/>
      <c r="L58" s="36"/>
      <c r="M58" s="36"/>
      <c r="N58" s="36"/>
      <c r="O58" s="36"/>
      <c r="P58" s="36"/>
      <c r="Q58" s="36"/>
      <c r="R58" s="36"/>
      <c r="S58" s="36"/>
      <c r="T58" s="36"/>
      <c r="U58" s="72" t="s">
        <v>21</v>
      </c>
      <c r="V58" s="73"/>
      <c r="W58" s="73"/>
      <c r="X58" s="73"/>
      <c r="Y58" s="129">
        <v>902</v>
      </c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7" t="s">
        <v>21</v>
      </c>
      <c r="AK58" s="368"/>
      <c r="AL58" s="88">
        <v>514.79999999999995</v>
      </c>
      <c r="AP58" s="36"/>
      <c r="AQ58" s="36"/>
      <c r="AR58" s="36"/>
      <c r="AS58" s="36"/>
      <c r="AT58" s="36"/>
      <c r="AU58" s="343" t="s">
        <v>21</v>
      </c>
      <c r="AV58" s="344"/>
      <c r="AW58" s="75">
        <v>488.34500000000003</v>
      </c>
      <c r="AX58" s="36"/>
      <c r="AY58" s="36"/>
      <c r="AZ58" s="36"/>
      <c r="BA58" s="36"/>
      <c r="BB58" s="36"/>
      <c r="BC58" s="149"/>
      <c r="BD58" s="150"/>
      <c r="BE58" s="150"/>
      <c r="BF58" s="151"/>
    </row>
    <row r="59" spans="2:58" ht="12.6" customHeight="1">
      <c r="B59" s="225"/>
      <c r="C59" s="36"/>
      <c r="D59" s="36"/>
      <c r="E59" s="36"/>
      <c r="F59" s="36"/>
      <c r="L59" s="36"/>
      <c r="M59" s="36"/>
      <c r="N59" s="36"/>
      <c r="O59" s="36"/>
      <c r="P59" s="36"/>
      <c r="Q59" s="36"/>
      <c r="R59" s="36"/>
      <c r="S59" s="36"/>
      <c r="T59" s="36"/>
      <c r="U59" s="72" t="s">
        <v>22</v>
      </c>
      <c r="V59" s="73"/>
      <c r="W59" s="73"/>
      <c r="X59" s="73"/>
      <c r="Y59" s="129">
        <v>328</v>
      </c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7" t="s">
        <v>22</v>
      </c>
      <c r="AK59" s="368"/>
      <c r="AL59" s="88">
        <v>175.5</v>
      </c>
      <c r="AP59" s="36"/>
      <c r="AQ59" s="36"/>
      <c r="AR59" s="36"/>
      <c r="AS59" s="36"/>
      <c r="AT59" s="36"/>
      <c r="AU59" s="343" t="s">
        <v>22</v>
      </c>
      <c r="AV59" s="344"/>
      <c r="AW59" s="75">
        <v>187.2</v>
      </c>
      <c r="AX59" s="36"/>
      <c r="AY59" s="36"/>
      <c r="AZ59" s="36"/>
      <c r="BA59" s="36"/>
      <c r="BB59" s="36"/>
      <c r="BC59" s="149"/>
      <c r="BD59" s="150"/>
      <c r="BE59" s="150"/>
      <c r="BF59" s="151"/>
    </row>
    <row r="60" spans="2:58" ht="12.6" customHeight="1">
      <c r="B60" s="225"/>
      <c r="C60" s="36"/>
      <c r="D60" s="36"/>
      <c r="E60" s="36"/>
      <c r="F60" s="36"/>
      <c r="L60" s="36"/>
      <c r="M60" s="36"/>
      <c r="N60" s="36"/>
      <c r="O60" s="36"/>
      <c r="P60" s="36"/>
      <c r="Q60" s="36"/>
      <c r="R60" s="36"/>
      <c r="S60" s="36"/>
      <c r="T60" s="36"/>
      <c r="U60" s="80">
        <v>354.65</v>
      </c>
      <c r="V60" s="81">
        <v>354.65</v>
      </c>
      <c r="W60" s="81">
        <v>354.65</v>
      </c>
      <c r="X60" s="81">
        <v>354.65</v>
      </c>
      <c r="Y60" s="82">
        <v>354.65</v>
      </c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80">
        <v>390</v>
      </c>
      <c r="AK60" s="81">
        <v>390</v>
      </c>
      <c r="AL60" s="82">
        <v>390</v>
      </c>
      <c r="AP60" s="36"/>
      <c r="AQ60" s="36"/>
      <c r="AR60" s="36"/>
      <c r="AS60" s="36"/>
      <c r="AT60" s="36"/>
      <c r="AU60" s="76">
        <v>371.82170000000002</v>
      </c>
      <c r="AV60" s="77">
        <v>371.82170000000002</v>
      </c>
      <c r="AW60" s="78">
        <v>371.82170000000002</v>
      </c>
      <c r="AX60" s="36"/>
      <c r="AY60" s="36"/>
      <c r="AZ60" s="36"/>
      <c r="BA60" s="36"/>
      <c r="BB60" s="36"/>
      <c r="BC60" s="149"/>
      <c r="BD60" s="150"/>
      <c r="BE60" s="150"/>
      <c r="BF60" s="151"/>
    </row>
    <row r="61" spans="2:58" ht="12.6" customHeight="1">
      <c r="B61" s="22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221">
        <f>SUM(C53:BB53)</f>
        <v>4058.7150000000001</v>
      </c>
      <c r="BD61" s="168"/>
      <c r="BE61" s="168"/>
      <c r="BF61" s="222"/>
    </row>
    <row r="62" spans="2:58" ht="15.6">
      <c r="B62" s="12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19"/>
      <c r="BD62" s="20"/>
      <c r="BE62" s="20"/>
      <c r="BF62" s="21"/>
    </row>
    <row r="63" spans="2:58" ht="12.6" customHeight="1" thickBot="1">
      <c r="B63" s="234" t="s">
        <v>31</v>
      </c>
      <c r="C63" s="14"/>
      <c r="D63" s="14"/>
      <c r="E63" s="14"/>
      <c r="F63" s="14"/>
      <c r="G63" s="14"/>
      <c r="H63" s="14"/>
      <c r="I63" s="14"/>
      <c r="J63" s="14"/>
      <c r="K63" s="14"/>
      <c r="L63" s="116"/>
      <c r="M63" s="116"/>
      <c r="N63" s="116"/>
      <c r="O63" s="116"/>
      <c r="P63" s="116"/>
      <c r="Q63" s="116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6"/>
      <c r="AE63" s="116"/>
      <c r="AF63" s="116"/>
      <c r="AG63" s="116"/>
      <c r="AH63" s="117"/>
      <c r="AI63" s="117"/>
      <c r="AJ63" s="117"/>
      <c r="AK63" s="117"/>
      <c r="AL63" s="117"/>
      <c r="AM63" s="117"/>
      <c r="AN63" s="117"/>
      <c r="AO63" s="117"/>
      <c r="AP63" s="118"/>
      <c r="AQ63" s="118"/>
      <c r="AR63" s="118"/>
      <c r="AS63" s="118"/>
      <c r="AT63" s="118"/>
      <c r="AU63" s="14"/>
      <c r="AV63" s="14"/>
      <c r="AW63" s="14"/>
      <c r="AX63" s="14"/>
      <c r="AY63" s="14"/>
      <c r="AZ63" s="14"/>
      <c r="BA63" s="14"/>
      <c r="BB63" s="14"/>
      <c r="BC63" s="17"/>
      <c r="BD63" s="23"/>
      <c r="BE63" s="23"/>
      <c r="BF63" s="18"/>
    </row>
    <row r="64" spans="2:58" ht="12.6" customHeight="1">
      <c r="B64" s="308"/>
      <c r="C64" s="276" t="s">
        <v>32</v>
      </c>
      <c r="D64" s="208"/>
      <c r="E64" s="208"/>
      <c r="F64" s="208"/>
      <c r="G64" s="209"/>
      <c r="I64" s="276" t="s">
        <v>33</v>
      </c>
      <c r="J64" s="208"/>
      <c r="K64" s="209"/>
      <c r="L64" s="140"/>
      <c r="S64" s="390" t="s">
        <v>34</v>
      </c>
      <c r="T64" s="391"/>
      <c r="U64" s="391"/>
      <c r="V64" s="392"/>
      <c r="W64" s="113"/>
      <c r="X64" s="113"/>
      <c r="Y64" s="113"/>
      <c r="Z64" s="48"/>
      <c r="AA64" s="48"/>
      <c r="AI64"/>
      <c r="AL64" s="243" t="s">
        <v>35</v>
      </c>
      <c r="AM64" s="208"/>
      <c r="AN64" s="208"/>
      <c r="AO64" s="209"/>
      <c r="AP64" s="313" t="s">
        <v>36</v>
      </c>
      <c r="AQ64" s="248"/>
      <c r="AR64" s="248"/>
      <c r="AS64" s="249"/>
      <c r="AX64" s="48"/>
      <c r="BC64" s="17"/>
      <c r="BD64" s="23"/>
      <c r="BE64" s="23"/>
      <c r="BF64" s="18"/>
    </row>
    <row r="65" spans="2:58" ht="12.6" customHeight="1">
      <c r="B65" s="308"/>
      <c r="C65" s="307">
        <f>SUM(G66:G70)</f>
        <v>1121.0804000000001</v>
      </c>
      <c r="D65" s="210"/>
      <c r="E65" s="210"/>
      <c r="F65" s="210"/>
      <c r="G65" s="246"/>
      <c r="I65" s="307">
        <f>SUM(K66:K69)</f>
        <v>852.59999999999991</v>
      </c>
      <c r="J65" s="210"/>
      <c r="K65" s="246"/>
      <c r="L65" s="119"/>
      <c r="S65" s="393">
        <f>SUM(V66:V69)</f>
        <v>1109.2</v>
      </c>
      <c r="T65" s="394"/>
      <c r="U65" s="394"/>
      <c r="V65" s="395"/>
      <c r="W65" s="113"/>
      <c r="X65" s="113"/>
      <c r="Y65" s="113"/>
      <c r="Z65" s="42"/>
      <c r="AA65" s="42"/>
      <c r="AI65"/>
      <c r="AL65" s="244">
        <f>SUM(AO66:AO69)</f>
        <v>1160</v>
      </c>
      <c r="AM65" s="245"/>
      <c r="AN65" s="245"/>
      <c r="AO65" s="246"/>
      <c r="AP65" s="186">
        <f>SUM(AS66:AS71)</f>
        <v>1379.8</v>
      </c>
      <c r="AQ65" s="274"/>
      <c r="AR65" s="274"/>
      <c r="AS65" s="275"/>
      <c r="AX65" s="42"/>
      <c r="BC65" s="17"/>
      <c r="BD65" s="23"/>
      <c r="BE65" s="23"/>
      <c r="BF65" s="18"/>
    </row>
    <row r="66" spans="2:58" ht="12.6" customHeight="1">
      <c r="B66" s="308"/>
      <c r="C66" s="134" t="s">
        <v>18</v>
      </c>
      <c r="D66" s="73"/>
      <c r="E66" s="73"/>
      <c r="F66" s="73"/>
      <c r="G66" s="75">
        <v>44.84</v>
      </c>
      <c r="I66" s="155" t="s">
        <v>20</v>
      </c>
      <c r="J66" s="50"/>
      <c r="K66" s="75">
        <v>174</v>
      </c>
      <c r="L66" s="126"/>
      <c r="P66" s="25"/>
      <c r="Q66" s="24"/>
      <c r="S66" s="139" t="s">
        <v>20</v>
      </c>
      <c r="T66" s="105"/>
      <c r="U66" s="105"/>
      <c r="V66" s="99">
        <v>200.6</v>
      </c>
      <c r="AF66" s="25"/>
      <c r="AG66" s="24"/>
      <c r="AL66" s="72" t="s">
        <v>20</v>
      </c>
      <c r="AM66" s="73"/>
      <c r="AN66" s="73"/>
      <c r="AO66" s="75">
        <v>220.4</v>
      </c>
      <c r="AP66" s="83" t="s">
        <v>17</v>
      </c>
      <c r="AQ66" s="73"/>
      <c r="AR66" s="74"/>
      <c r="AS66" s="84">
        <v>14</v>
      </c>
      <c r="BC66" s="17"/>
      <c r="BD66" s="23"/>
      <c r="BE66" s="23"/>
      <c r="BF66" s="18"/>
    </row>
    <row r="67" spans="2:58" ht="12.6" customHeight="1">
      <c r="B67" s="308"/>
      <c r="C67" s="72" t="s">
        <v>20</v>
      </c>
      <c r="D67" s="73"/>
      <c r="E67" s="73"/>
      <c r="F67" s="73"/>
      <c r="G67" s="75">
        <v>246.63800000000001</v>
      </c>
      <c r="I67" s="155" t="s">
        <v>48</v>
      </c>
      <c r="J67" s="50"/>
      <c r="K67" s="75">
        <v>69.599999999999994</v>
      </c>
      <c r="L67" s="126"/>
      <c r="P67" s="25"/>
      <c r="Q67" s="24"/>
      <c r="S67" s="72" t="s">
        <v>48</v>
      </c>
      <c r="T67" s="73"/>
      <c r="U67" s="73"/>
      <c r="V67" s="75">
        <v>94.4</v>
      </c>
      <c r="AF67" s="25"/>
      <c r="AG67" s="24"/>
      <c r="AL67" s="72" t="s">
        <v>48</v>
      </c>
      <c r="AM67" s="73"/>
      <c r="AN67" s="73"/>
      <c r="AO67" s="75">
        <v>92.8</v>
      </c>
      <c r="AP67" s="83" t="s">
        <v>18</v>
      </c>
      <c r="AQ67" s="73"/>
      <c r="AR67" s="74"/>
      <c r="AS67" s="84">
        <v>105.8</v>
      </c>
      <c r="BC67" s="17"/>
      <c r="BD67" s="23"/>
      <c r="BE67" s="23"/>
      <c r="BF67" s="18"/>
    </row>
    <row r="68" spans="2:58" ht="12.6" customHeight="1">
      <c r="B68" s="308"/>
      <c r="C68" s="72" t="s">
        <v>48</v>
      </c>
      <c r="D68" s="92"/>
      <c r="E68" s="92"/>
      <c r="F68" s="92"/>
      <c r="G68" s="75">
        <v>89.688000000000002</v>
      </c>
      <c r="I68" s="155" t="s">
        <v>21</v>
      </c>
      <c r="J68" s="50"/>
      <c r="K68" s="75">
        <v>443.7</v>
      </c>
      <c r="L68" s="126"/>
      <c r="P68" s="25"/>
      <c r="Q68" s="24"/>
      <c r="S68" s="72" t="s">
        <v>21</v>
      </c>
      <c r="T68" s="92"/>
      <c r="U68" s="92"/>
      <c r="V68" s="75">
        <v>590</v>
      </c>
      <c r="AF68" s="25"/>
      <c r="AG68" s="24"/>
      <c r="AL68" s="72" t="s">
        <v>21</v>
      </c>
      <c r="AM68" s="92"/>
      <c r="AN68" s="92"/>
      <c r="AO68" s="75">
        <v>626.4</v>
      </c>
      <c r="AP68" s="83" t="s">
        <v>19</v>
      </c>
      <c r="AQ68" s="73"/>
      <c r="AR68" s="74"/>
      <c r="AS68" s="84">
        <v>70</v>
      </c>
      <c r="BC68" s="17"/>
      <c r="BD68" s="23"/>
      <c r="BE68" s="23"/>
      <c r="BF68" s="18"/>
    </row>
    <row r="69" spans="2:58" ht="12.6" customHeight="1">
      <c r="B69" s="308"/>
      <c r="C69" s="93" t="s">
        <v>21</v>
      </c>
      <c r="D69" s="94"/>
      <c r="E69" s="94"/>
      <c r="F69" s="94"/>
      <c r="G69" s="75">
        <v>515.69799999999998</v>
      </c>
      <c r="I69" s="111" t="s">
        <v>22</v>
      </c>
      <c r="J69" s="111"/>
      <c r="K69" s="143">
        <v>165.3</v>
      </c>
      <c r="L69" s="126"/>
      <c r="P69" s="25"/>
      <c r="Q69" s="24"/>
      <c r="S69" s="93" t="s">
        <v>22</v>
      </c>
      <c r="T69" s="73"/>
      <c r="U69" s="73"/>
      <c r="V69" s="75">
        <v>224.2</v>
      </c>
      <c r="AF69" s="25"/>
      <c r="AG69" s="24"/>
      <c r="AL69" s="93" t="s">
        <v>22</v>
      </c>
      <c r="AM69" s="73"/>
      <c r="AN69" s="73"/>
      <c r="AO69" s="75">
        <v>220.4</v>
      </c>
      <c r="AP69" s="83" t="s">
        <v>20</v>
      </c>
      <c r="AQ69" s="73"/>
      <c r="AR69" s="74"/>
      <c r="AS69" s="84">
        <v>294</v>
      </c>
      <c r="BC69" s="17"/>
      <c r="BD69" s="23"/>
      <c r="BE69" s="23"/>
      <c r="BF69" s="18"/>
    </row>
    <row r="70" spans="2:58" ht="12.6" customHeight="1" thickBot="1">
      <c r="B70" s="308"/>
      <c r="C70" s="155" t="s">
        <v>22</v>
      </c>
      <c r="D70" s="135"/>
      <c r="E70" s="135"/>
      <c r="F70" s="136"/>
      <c r="G70" s="137">
        <v>224.21639999999999</v>
      </c>
      <c r="I70" s="51">
        <v>284.2</v>
      </c>
      <c r="J70" s="52">
        <v>284.2</v>
      </c>
      <c r="K70" s="53">
        <v>284.2</v>
      </c>
      <c r="L70" s="141"/>
      <c r="P70" s="25"/>
      <c r="Q70" s="24"/>
      <c r="S70" s="51">
        <v>277.3</v>
      </c>
      <c r="T70" s="52">
        <v>277.3</v>
      </c>
      <c r="U70" s="52">
        <v>277.3</v>
      </c>
      <c r="V70" s="53">
        <v>277.3</v>
      </c>
      <c r="AF70" s="25"/>
      <c r="AG70" s="24"/>
      <c r="AL70" s="51">
        <v>290</v>
      </c>
      <c r="AM70" s="52">
        <v>290</v>
      </c>
      <c r="AN70" s="52">
        <v>290</v>
      </c>
      <c r="AO70" s="53">
        <v>290</v>
      </c>
      <c r="AP70" s="83" t="s">
        <v>21</v>
      </c>
      <c r="AQ70" s="73"/>
      <c r="AR70" s="74"/>
      <c r="AS70" s="84">
        <v>672</v>
      </c>
      <c r="BC70" s="17"/>
      <c r="BD70" s="23"/>
      <c r="BE70" s="23"/>
      <c r="BF70" s="18"/>
    </row>
    <row r="71" spans="2:58" ht="12.6" customHeight="1" thickBot="1">
      <c r="B71" s="308"/>
      <c r="C71" s="138">
        <v>280.27010000000001</v>
      </c>
      <c r="D71" s="133">
        <v>280.27010000000001</v>
      </c>
      <c r="E71" s="133">
        <v>280.27010000000001</v>
      </c>
      <c r="F71" s="133">
        <v>245.2363</v>
      </c>
      <c r="G71" s="53">
        <v>35.033760000000001</v>
      </c>
      <c r="M71" s="396"/>
      <c r="N71" s="396"/>
      <c r="O71" s="71"/>
      <c r="P71" s="25"/>
      <c r="Q71" s="24"/>
      <c r="AD71" s="25"/>
      <c r="AE71" s="25"/>
      <c r="AF71" s="25"/>
      <c r="AG71" s="24"/>
      <c r="AP71" s="83" t="s">
        <v>22</v>
      </c>
      <c r="AQ71" s="73"/>
      <c r="AR71" s="74"/>
      <c r="AS71" s="84">
        <v>224</v>
      </c>
      <c r="BC71" s="17"/>
      <c r="BD71" s="23"/>
      <c r="BE71" s="23"/>
      <c r="BF71" s="18"/>
    </row>
    <row r="72" spans="2:58" ht="12.6" customHeight="1" thickBot="1">
      <c r="B72" s="235"/>
      <c r="C72"/>
      <c r="D72"/>
      <c r="E72"/>
      <c r="F72"/>
      <c r="G72"/>
      <c r="L72" s="25"/>
      <c r="P72" s="25"/>
      <c r="Q72" s="24"/>
      <c r="AD72" s="25"/>
      <c r="AE72" s="25"/>
      <c r="AF72" s="25"/>
      <c r="AG72" s="24"/>
      <c r="AP72" s="85">
        <v>345</v>
      </c>
      <c r="AQ72" s="86">
        <v>345</v>
      </c>
      <c r="AR72" s="86">
        <v>345</v>
      </c>
      <c r="AS72" s="87">
        <v>345</v>
      </c>
      <c r="BC72" s="17"/>
      <c r="BD72" s="23"/>
      <c r="BE72" s="23"/>
      <c r="BF72" s="18"/>
    </row>
    <row r="73" spans="2:58" ht="12.6" customHeight="1" thickBot="1">
      <c r="B73" s="235"/>
      <c r="L73" s="25"/>
      <c r="M73" s="25"/>
      <c r="N73" s="25"/>
      <c r="O73" s="25"/>
      <c r="P73" s="25"/>
      <c r="Q73" s="24"/>
      <c r="AD73" s="25"/>
      <c r="AE73" s="25"/>
      <c r="AF73" s="25"/>
      <c r="AG73" s="24"/>
      <c r="AP73" s="32"/>
      <c r="AQ73" s="32"/>
      <c r="AR73" s="32"/>
      <c r="AS73" s="32"/>
      <c r="AT73" s="33"/>
      <c r="BC73" s="168">
        <f>SUM(C65:BB65)</f>
        <v>5622.6804000000002</v>
      </c>
      <c r="BD73" s="195"/>
      <c r="BE73" s="195"/>
      <c r="BF73" s="196"/>
    </row>
    <row r="74" spans="2:58" ht="15" customHeight="1" thickBot="1">
      <c r="B74" s="235"/>
      <c r="C74" s="240" t="s">
        <v>38</v>
      </c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  <c r="AA74" s="240"/>
      <c r="AB74" s="240"/>
      <c r="AC74" s="240"/>
      <c r="AD74" s="240"/>
      <c r="AE74" s="240"/>
      <c r="AF74" s="240"/>
      <c r="AG74" s="240"/>
      <c r="AH74" s="240"/>
      <c r="AI74" s="240"/>
      <c r="AJ74" s="240"/>
      <c r="AK74" s="240"/>
      <c r="AL74" s="240"/>
      <c r="AM74" s="240"/>
      <c r="AN74" s="240"/>
      <c r="AO74" s="240"/>
      <c r="AP74" s="240"/>
      <c r="AQ74" s="240"/>
      <c r="AR74" s="240"/>
      <c r="AS74" s="240"/>
      <c r="AT74" s="240"/>
      <c r="AU74" s="240"/>
      <c r="AV74" s="240"/>
      <c r="AW74" s="240"/>
      <c r="AX74" s="240"/>
      <c r="AY74" s="240"/>
      <c r="AZ74" s="240"/>
      <c r="BA74" s="240"/>
      <c r="BB74" s="240"/>
      <c r="BC74" s="205">
        <v>205.4</v>
      </c>
      <c r="BD74" s="206"/>
      <c r="BE74" s="206"/>
      <c r="BF74" s="207"/>
    </row>
    <row r="75" spans="2:58" ht="15.95" thickBot="1">
      <c r="B75" s="12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11"/>
      <c r="BC75" s="19"/>
      <c r="BD75" s="20"/>
      <c r="BE75" s="20"/>
      <c r="BF75" s="21"/>
    </row>
    <row r="76" spans="2:58" ht="15" customHeight="1" thickBot="1">
      <c r="B76" s="15" t="s">
        <v>44</v>
      </c>
      <c r="C76" s="16"/>
      <c r="D76" s="1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68">
        <f>SUM(BC27,BC49,BC61,BC73,BC74)</f>
        <v>21117.005160000004</v>
      </c>
      <c r="BD76" s="195"/>
      <c r="BE76" s="195"/>
      <c r="BF76" s="196"/>
    </row>
    <row r="77" spans="2:58" ht="12" customHeight="1">
      <c r="B77" s="125" t="s">
        <v>45</v>
      </c>
    </row>
  </sheetData>
  <mergeCells count="93">
    <mergeCell ref="B63:B74"/>
    <mergeCell ref="BC76:BF76"/>
    <mergeCell ref="M17:R17"/>
    <mergeCell ref="M18:R18"/>
    <mergeCell ref="AS17:AV17"/>
    <mergeCell ref="AS18:AV18"/>
    <mergeCell ref="AX17:AZ17"/>
    <mergeCell ref="AX18:AZ18"/>
    <mergeCell ref="AL65:AO65"/>
    <mergeCell ref="AP64:AS64"/>
    <mergeCell ref="AP65:AS65"/>
    <mergeCell ref="BC73:BF73"/>
    <mergeCell ref="C74:BB74"/>
    <mergeCell ref="C64:G64"/>
    <mergeCell ref="M71:N71"/>
    <mergeCell ref="I64:K64"/>
    <mergeCell ref="AL64:AO64"/>
    <mergeCell ref="C65:G65"/>
    <mergeCell ref="AU58:AV58"/>
    <mergeCell ref="BC74:BF74"/>
    <mergeCell ref="AU59:AV59"/>
    <mergeCell ref="BC61:BF61"/>
    <mergeCell ref="AJ58:AK58"/>
    <mergeCell ref="AJ59:AK59"/>
    <mergeCell ref="I65:K65"/>
    <mergeCell ref="S64:V64"/>
    <mergeCell ref="S65:V65"/>
    <mergeCell ref="BC49:BF49"/>
    <mergeCell ref="AU53:AW53"/>
    <mergeCell ref="AU54:AV54"/>
    <mergeCell ref="AJ52:AL52"/>
    <mergeCell ref="AJ53:AL53"/>
    <mergeCell ref="AJ54:AK54"/>
    <mergeCell ref="AE37:AF37"/>
    <mergeCell ref="AT37:AU37"/>
    <mergeCell ref="B51:B61"/>
    <mergeCell ref="AU52:AW52"/>
    <mergeCell ref="G40:J40"/>
    <mergeCell ref="G41:J41"/>
    <mergeCell ref="AU55:AV55"/>
    <mergeCell ref="AU56:AV56"/>
    <mergeCell ref="AU57:AV57"/>
    <mergeCell ref="AJ57:AK57"/>
    <mergeCell ref="AJ55:AK55"/>
    <mergeCell ref="AJ56:AK56"/>
    <mergeCell ref="AF40:AI40"/>
    <mergeCell ref="AF41:AI41"/>
    <mergeCell ref="U52:Y52"/>
    <mergeCell ref="U53:Y53"/>
    <mergeCell ref="AT34:AU34"/>
    <mergeCell ref="L35:M35"/>
    <mergeCell ref="AE35:AF35"/>
    <mergeCell ref="AT35:AU35"/>
    <mergeCell ref="L36:M36"/>
    <mergeCell ref="AE36:AF36"/>
    <mergeCell ref="AT36:AU36"/>
    <mergeCell ref="BC27:BF27"/>
    <mergeCell ref="B29:B49"/>
    <mergeCell ref="L30:N30"/>
    <mergeCell ref="AE30:AG30"/>
    <mergeCell ref="AT30:AV30"/>
    <mergeCell ref="L31:N31"/>
    <mergeCell ref="AE31:AG31"/>
    <mergeCell ref="AT31:AV31"/>
    <mergeCell ref="L32:M32"/>
    <mergeCell ref="AE32:AF32"/>
    <mergeCell ref="AT32:AU32"/>
    <mergeCell ref="L33:M33"/>
    <mergeCell ref="AE33:AF33"/>
    <mergeCell ref="AT33:AU33"/>
    <mergeCell ref="L34:M34"/>
    <mergeCell ref="AE34:AF34"/>
    <mergeCell ref="AY3:BB3"/>
    <mergeCell ref="BC5:BF5"/>
    <mergeCell ref="B6:B27"/>
    <mergeCell ref="O7:R7"/>
    <mergeCell ref="Y7:AD7"/>
    <mergeCell ref="AX7:AZ7"/>
    <mergeCell ref="O8:R8"/>
    <mergeCell ref="Y8:AD8"/>
    <mergeCell ref="AX8:AZ8"/>
    <mergeCell ref="X3:AB3"/>
    <mergeCell ref="AC3:AF3"/>
    <mergeCell ref="AG3:AK3"/>
    <mergeCell ref="AL3:AO3"/>
    <mergeCell ref="AP3:AS3"/>
    <mergeCell ref="AT3:AX3"/>
    <mergeCell ref="B3:B4"/>
    <mergeCell ref="C3:F3"/>
    <mergeCell ref="G3:J3"/>
    <mergeCell ref="K3:O3"/>
    <mergeCell ref="P3:S3"/>
    <mergeCell ref="T3:W3"/>
  </mergeCells>
  <pageMargins left="0.7" right="0.7" top="0.75" bottom="0.75" header="0.3" footer="0.3"/>
  <pageSetup paperSize="3" orientation="landscape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180D-93CD-44E6-895B-D932AB326CA2}">
  <dimension ref="B1:CH45"/>
  <sheetViews>
    <sheetView showGridLines="0" zoomScale="90" zoomScaleNormal="90" workbookViewId="0">
      <pane ySplit="4" topLeftCell="A5" activePane="bottomLeft" state="frozen"/>
      <selection pane="bottomLeft" activeCell="B3" sqref="B3:B4"/>
    </sheetView>
  </sheetViews>
  <sheetFormatPr defaultColWidth="8.5703125" defaultRowHeight="12" customHeight="1"/>
  <cols>
    <col min="1" max="1" width="2.42578125" style="1" customWidth="1"/>
    <col min="2" max="2" width="23.140625" style="1" customWidth="1"/>
    <col min="3" max="3" width="6.5703125" style="1" customWidth="1"/>
    <col min="4" max="34" width="7.42578125" style="1" customWidth="1"/>
    <col min="35" max="35" width="7.5703125" style="1" customWidth="1"/>
    <col min="36" max="50" width="7.42578125" style="1" customWidth="1"/>
    <col min="51" max="53" width="8.42578125" style="1" customWidth="1"/>
    <col min="54" max="55" width="7.42578125" style="1" customWidth="1"/>
    <col min="56" max="86" width="2.5703125" style="1" customWidth="1"/>
    <col min="87" max="16384" width="8.5703125" style="1"/>
  </cols>
  <sheetData>
    <row r="1" spans="2:86" ht="19.5">
      <c r="B1" s="22" t="s">
        <v>54</v>
      </c>
    </row>
    <row r="2" spans="2:86" ht="12.95" thickBot="1">
      <c r="B2" s="1" t="str">
        <f>+GCM!B2</f>
        <v>Revision 1  (as of 11.12.2025)</v>
      </c>
    </row>
    <row r="3" spans="2:86" ht="14.85" customHeight="1">
      <c r="B3" s="170" t="str">
        <f>+GCM!B3</f>
        <v>2026 US Media Mix Calendar</v>
      </c>
      <c r="C3" s="108" t="s">
        <v>47</v>
      </c>
      <c r="D3" s="167" t="s">
        <v>3</v>
      </c>
      <c r="E3" s="164"/>
      <c r="F3" s="164"/>
      <c r="G3" s="164"/>
      <c r="H3" s="164" t="s">
        <v>4</v>
      </c>
      <c r="I3" s="164"/>
      <c r="J3" s="164"/>
      <c r="K3" s="164"/>
      <c r="L3" s="165" t="s">
        <v>5</v>
      </c>
      <c r="M3" s="166"/>
      <c r="N3" s="166"/>
      <c r="O3" s="166"/>
      <c r="P3" s="167"/>
      <c r="Q3" s="164" t="s">
        <v>6</v>
      </c>
      <c r="R3" s="164"/>
      <c r="S3" s="164"/>
      <c r="T3" s="164"/>
      <c r="U3" s="164" t="s">
        <v>7</v>
      </c>
      <c r="V3" s="164"/>
      <c r="W3" s="164"/>
      <c r="X3" s="164"/>
      <c r="Y3" s="165" t="s">
        <v>8</v>
      </c>
      <c r="Z3" s="166"/>
      <c r="AA3" s="166"/>
      <c r="AB3" s="166"/>
      <c r="AC3" s="167"/>
      <c r="AD3" s="164" t="s">
        <v>9</v>
      </c>
      <c r="AE3" s="164"/>
      <c r="AF3" s="164"/>
      <c r="AG3" s="164"/>
      <c r="AH3" s="165" t="s">
        <v>10</v>
      </c>
      <c r="AI3" s="166"/>
      <c r="AJ3" s="166"/>
      <c r="AK3" s="166"/>
      <c r="AL3" s="167"/>
      <c r="AM3" s="165" t="s">
        <v>11</v>
      </c>
      <c r="AN3" s="166"/>
      <c r="AO3" s="166"/>
      <c r="AP3" s="167"/>
      <c r="AQ3" s="164" t="s">
        <v>12</v>
      </c>
      <c r="AR3" s="164"/>
      <c r="AS3" s="164"/>
      <c r="AT3" s="164"/>
      <c r="AU3" s="165" t="s">
        <v>13</v>
      </c>
      <c r="AV3" s="166"/>
      <c r="AW3" s="166"/>
      <c r="AX3" s="166"/>
      <c r="AY3" s="167"/>
      <c r="AZ3" s="164" t="s">
        <v>14</v>
      </c>
      <c r="BA3" s="164"/>
      <c r="BB3" s="164"/>
      <c r="BC3" s="164"/>
      <c r="BD3" s="4"/>
      <c r="BE3" s="5"/>
      <c r="BF3" s="5"/>
      <c r="BG3" s="6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2:86" ht="15" customHeight="1" thickBot="1">
      <c r="B4" s="171"/>
      <c r="C4" s="30">
        <v>29</v>
      </c>
      <c r="D4" s="30">
        <v>5</v>
      </c>
      <c r="E4" s="10">
        <v>12</v>
      </c>
      <c r="F4" s="10">
        <v>19</v>
      </c>
      <c r="G4" s="10">
        <v>26</v>
      </c>
      <c r="H4" s="10">
        <v>2</v>
      </c>
      <c r="I4" s="10">
        <v>9</v>
      </c>
      <c r="J4" s="10">
        <v>16</v>
      </c>
      <c r="K4" s="10">
        <v>23</v>
      </c>
      <c r="L4" s="10">
        <v>2</v>
      </c>
      <c r="M4" s="10">
        <v>9</v>
      </c>
      <c r="N4" s="10">
        <v>16</v>
      </c>
      <c r="O4" s="10">
        <v>23</v>
      </c>
      <c r="P4" s="10">
        <v>30</v>
      </c>
      <c r="Q4" s="10">
        <v>6</v>
      </c>
      <c r="R4" s="10">
        <v>13</v>
      </c>
      <c r="S4" s="10">
        <v>20</v>
      </c>
      <c r="T4" s="10">
        <v>27</v>
      </c>
      <c r="U4" s="10">
        <v>4</v>
      </c>
      <c r="V4" s="10">
        <v>11</v>
      </c>
      <c r="W4" s="10">
        <v>18</v>
      </c>
      <c r="X4" s="10">
        <v>25</v>
      </c>
      <c r="Y4" s="10">
        <v>1</v>
      </c>
      <c r="Z4" s="10">
        <v>8</v>
      </c>
      <c r="AA4" s="10">
        <v>15</v>
      </c>
      <c r="AB4" s="10">
        <v>22</v>
      </c>
      <c r="AC4" s="10">
        <v>29</v>
      </c>
      <c r="AD4" s="10">
        <v>6</v>
      </c>
      <c r="AE4" s="10">
        <v>13</v>
      </c>
      <c r="AF4" s="10">
        <v>20</v>
      </c>
      <c r="AG4" s="10">
        <v>27</v>
      </c>
      <c r="AH4" s="10">
        <v>3</v>
      </c>
      <c r="AI4" s="10">
        <v>10</v>
      </c>
      <c r="AJ4" s="10">
        <v>17</v>
      </c>
      <c r="AK4" s="10">
        <v>24</v>
      </c>
      <c r="AL4" s="10">
        <v>31</v>
      </c>
      <c r="AM4" s="10">
        <v>7</v>
      </c>
      <c r="AN4" s="10">
        <v>14</v>
      </c>
      <c r="AO4" s="10">
        <v>21</v>
      </c>
      <c r="AP4" s="10">
        <v>28</v>
      </c>
      <c r="AQ4" s="10">
        <v>5</v>
      </c>
      <c r="AR4" s="10">
        <v>12</v>
      </c>
      <c r="AS4" s="10">
        <v>19</v>
      </c>
      <c r="AT4" s="10">
        <v>26</v>
      </c>
      <c r="AU4" s="10">
        <v>2</v>
      </c>
      <c r="AV4" s="10">
        <v>9</v>
      </c>
      <c r="AW4" s="10">
        <v>16</v>
      </c>
      <c r="AX4" s="10">
        <v>23</v>
      </c>
      <c r="AY4" s="10">
        <v>30</v>
      </c>
      <c r="AZ4" s="10">
        <v>7</v>
      </c>
      <c r="BA4" s="10">
        <v>14</v>
      </c>
      <c r="BB4" s="10">
        <v>21</v>
      </c>
      <c r="BC4" s="10">
        <v>28</v>
      </c>
      <c r="BD4" s="7"/>
      <c r="BE4" s="8"/>
      <c r="BF4" s="8"/>
      <c r="BG4" s="9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2:86" ht="11.45" customHeight="1" thickBot="1">
      <c r="B5" s="31"/>
      <c r="C5" s="26"/>
      <c r="D5" s="26"/>
      <c r="E5" s="26"/>
      <c r="F5" s="26"/>
      <c r="G5" s="26"/>
      <c r="H5" s="27"/>
      <c r="I5" s="28"/>
      <c r="J5" s="28"/>
      <c r="K5" s="28"/>
      <c r="L5" s="29"/>
      <c r="M5" s="26"/>
      <c r="N5" s="26"/>
      <c r="O5" s="26"/>
      <c r="P5" s="26"/>
      <c r="Q5" s="26"/>
      <c r="R5" s="26"/>
      <c r="S5" s="27"/>
      <c r="T5" s="28"/>
      <c r="U5" s="28"/>
      <c r="V5" s="28"/>
      <c r="W5" s="29"/>
      <c r="X5" s="26"/>
      <c r="Y5" s="26"/>
      <c r="Z5" s="27"/>
      <c r="AA5" s="28"/>
      <c r="AB5" s="28"/>
      <c r="AC5" s="28"/>
      <c r="AD5" s="29"/>
      <c r="AE5" s="26"/>
      <c r="AF5" s="26"/>
      <c r="AG5" s="26"/>
      <c r="AH5" s="26"/>
      <c r="AI5" s="27"/>
      <c r="AJ5" s="28"/>
      <c r="AK5" s="28"/>
      <c r="AL5" s="28"/>
      <c r="AM5" s="27"/>
      <c r="AN5" s="28"/>
      <c r="AO5" s="28"/>
      <c r="AP5" s="28"/>
      <c r="AQ5" s="28"/>
      <c r="AR5" s="29"/>
      <c r="AS5" s="26"/>
      <c r="AT5" s="26"/>
      <c r="AU5" s="26"/>
      <c r="AV5" s="26"/>
      <c r="AW5" s="26"/>
      <c r="AX5" s="26"/>
      <c r="AY5" s="26"/>
      <c r="AZ5" s="26"/>
      <c r="BA5" s="27"/>
      <c r="BB5" s="28"/>
      <c r="BC5" s="29"/>
      <c r="BD5" s="161"/>
      <c r="BE5" s="162"/>
      <c r="BF5" s="162"/>
      <c r="BG5" s="163"/>
    </row>
    <row r="6" spans="2:86" ht="14.1" customHeight="1">
      <c r="B6" s="174" t="s">
        <v>15</v>
      </c>
      <c r="C6" s="14"/>
      <c r="D6" s="14"/>
      <c r="E6" s="14"/>
      <c r="F6" s="14"/>
      <c r="G6" s="14"/>
      <c r="H6" s="112"/>
      <c r="I6" s="34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14"/>
      <c r="AA6" s="14"/>
      <c r="AB6" s="14"/>
      <c r="AC6" s="14"/>
      <c r="AD6" s="14"/>
      <c r="AE6" s="14"/>
      <c r="AF6" s="35"/>
      <c r="AG6" s="35"/>
      <c r="AH6" s="35"/>
      <c r="AI6" s="34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64"/>
      <c r="BD6" s="150"/>
      <c r="BE6" s="150"/>
      <c r="BF6" s="150"/>
      <c r="BG6" s="151"/>
    </row>
    <row r="7" spans="2:86" ht="14.1" customHeight="1">
      <c r="B7" s="175"/>
      <c r="H7" s="254"/>
      <c r="I7" s="254"/>
      <c r="J7" s="254"/>
      <c r="K7" s="254"/>
      <c r="L7" s="48"/>
      <c r="M7" s="65"/>
      <c r="N7" s="65"/>
      <c r="O7" s="65"/>
      <c r="P7" s="333" t="s">
        <v>16</v>
      </c>
      <c r="Q7" s="334"/>
      <c r="R7" s="334"/>
      <c r="S7" s="335"/>
      <c r="T7" s="65"/>
      <c r="U7" s="65"/>
      <c r="V7" s="65"/>
      <c r="W7" s="65"/>
      <c r="X7" s="65"/>
      <c r="Y7" s="65"/>
      <c r="Z7" s="314" t="s">
        <v>16</v>
      </c>
      <c r="AA7" s="315"/>
      <c r="AB7" s="315"/>
      <c r="AC7" s="315"/>
      <c r="AD7" s="315"/>
      <c r="AE7" s="316"/>
      <c r="AF7" s="48"/>
      <c r="AG7" s="48"/>
      <c r="AH7" s="48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Y7" s="314" t="s">
        <v>16</v>
      </c>
      <c r="AZ7" s="315"/>
      <c r="BA7" s="316"/>
      <c r="BC7" s="66"/>
      <c r="BD7" s="150"/>
      <c r="BE7" s="150"/>
      <c r="BF7" s="150"/>
      <c r="BG7" s="151"/>
    </row>
    <row r="8" spans="2:86" ht="14.1" customHeight="1">
      <c r="B8" s="175"/>
      <c r="H8" s="321"/>
      <c r="I8" s="321"/>
      <c r="J8" s="321"/>
      <c r="K8" s="321"/>
      <c r="L8" s="42"/>
      <c r="M8" s="67"/>
      <c r="N8" s="67"/>
      <c r="O8" s="67"/>
      <c r="P8" s="317" t="s">
        <v>55</v>
      </c>
      <c r="Q8" s="318"/>
      <c r="R8" s="318"/>
      <c r="S8" s="319"/>
      <c r="T8" s="67"/>
      <c r="U8" s="67"/>
      <c r="V8" s="67"/>
      <c r="W8" s="67"/>
      <c r="X8" s="67"/>
      <c r="Y8" s="67"/>
      <c r="Z8" s="317" t="s">
        <v>55</v>
      </c>
      <c r="AA8" s="318"/>
      <c r="AB8" s="318"/>
      <c r="AC8" s="318"/>
      <c r="AD8" s="318"/>
      <c r="AE8" s="319"/>
      <c r="AF8" s="45"/>
      <c r="AG8" s="45"/>
      <c r="AH8" s="45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Y8" s="317" t="s">
        <v>55</v>
      </c>
      <c r="AZ8" s="318"/>
      <c r="BA8" s="319"/>
      <c r="BC8" s="68"/>
      <c r="BD8" s="150"/>
      <c r="BE8" s="150"/>
      <c r="BF8" s="150"/>
      <c r="BG8" s="151"/>
    </row>
    <row r="9" spans="2:86" ht="14.1" customHeight="1">
      <c r="B9" s="175"/>
      <c r="H9" s="321"/>
      <c r="I9" s="321"/>
      <c r="J9" s="321"/>
      <c r="K9" s="321"/>
      <c r="L9" s="67"/>
      <c r="M9" s="67"/>
      <c r="N9" s="67"/>
      <c r="O9" s="67"/>
      <c r="P9" s="320"/>
      <c r="Q9" s="321"/>
      <c r="R9" s="321"/>
      <c r="S9" s="322"/>
      <c r="T9" s="67"/>
      <c r="U9" s="67"/>
      <c r="V9" s="67"/>
      <c r="W9" s="67"/>
      <c r="X9" s="67"/>
      <c r="Y9" s="67"/>
      <c r="Z9" s="320"/>
      <c r="AA9" s="321"/>
      <c r="AB9" s="321"/>
      <c r="AC9" s="321"/>
      <c r="AD9" s="321"/>
      <c r="AE9" s="322"/>
      <c r="AF9" s="67"/>
      <c r="AG9" s="67"/>
      <c r="AH9" s="67"/>
      <c r="AI9" s="65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320"/>
      <c r="AZ9" s="321"/>
      <c r="BA9" s="322"/>
      <c r="BC9" s="69"/>
      <c r="BD9" s="150"/>
      <c r="BE9" s="150"/>
      <c r="BF9" s="150"/>
      <c r="BG9" s="151"/>
    </row>
    <row r="10" spans="2:86" ht="14.1" customHeight="1" thickBot="1">
      <c r="B10" s="175"/>
      <c r="H10" s="321"/>
      <c r="I10" s="321"/>
      <c r="J10" s="321"/>
      <c r="K10" s="321"/>
      <c r="L10" s="67"/>
      <c r="M10" s="67"/>
      <c r="N10" s="67"/>
      <c r="O10" s="67"/>
      <c r="P10" s="323"/>
      <c r="Q10" s="324"/>
      <c r="R10" s="324"/>
      <c r="S10" s="325"/>
      <c r="T10" s="67"/>
      <c r="U10" s="67"/>
      <c r="V10" s="67"/>
      <c r="W10" s="67"/>
      <c r="X10" s="67"/>
      <c r="Y10" s="67"/>
      <c r="Z10" s="323"/>
      <c r="AA10" s="324"/>
      <c r="AB10" s="324"/>
      <c r="AC10" s="324"/>
      <c r="AD10" s="324"/>
      <c r="AE10" s="325"/>
      <c r="AF10" s="67"/>
      <c r="AG10" s="67"/>
      <c r="AH10" s="67"/>
      <c r="AI10" s="65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323"/>
      <c r="AZ10" s="324"/>
      <c r="BA10" s="325"/>
      <c r="BC10" s="69"/>
      <c r="BD10" s="150"/>
      <c r="BE10" s="150"/>
      <c r="BF10" s="150"/>
      <c r="BG10" s="151"/>
    </row>
    <row r="11" spans="2:86" ht="14.1" customHeight="1" thickBot="1">
      <c r="B11" s="175"/>
      <c r="C11"/>
      <c r="H11"/>
      <c r="I11"/>
      <c r="J11"/>
      <c r="K11"/>
      <c r="Y11" s="113"/>
      <c r="Z11"/>
      <c r="AA11"/>
      <c r="AB11"/>
      <c r="AC11"/>
      <c r="AP11" s="113"/>
      <c r="AQ11" s="113"/>
      <c r="AR11" s="113"/>
      <c r="AS11" s="113"/>
      <c r="AY11"/>
      <c r="AZ11"/>
      <c r="BA11"/>
      <c r="BC11" s="70"/>
      <c r="BD11" s="150"/>
      <c r="BE11" s="150"/>
      <c r="BF11" s="150"/>
      <c r="BG11" s="151"/>
    </row>
    <row r="12" spans="2:86" ht="14.1" customHeight="1" thickBot="1">
      <c r="B12" s="175"/>
      <c r="C12" s="333" t="s">
        <v>56</v>
      </c>
      <c r="D12" s="334"/>
      <c r="E12" s="334"/>
      <c r="F12" s="335"/>
      <c r="H12" s="71"/>
      <c r="I12" s="71"/>
      <c r="J12" s="71"/>
      <c r="K12" s="71"/>
      <c r="Y12" s="113"/>
      <c r="Z12" s="71"/>
      <c r="AA12" s="71"/>
      <c r="AB12" s="71"/>
      <c r="AC12" s="71"/>
      <c r="AD12" s="314" t="s">
        <v>57</v>
      </c>
      <c r="AE12" s="315"/>
      <c r="AF12" s="315"/>
      <c r="AG12" s="315"/>
      <c r="AH12" s="315"/>
      <c r="AI12" s="316"/>
      <c r="AP12" s="397" t="s">
        <v>56</v>
      </c>
      <c r="AQ12" s="398"/>
      <c r="AR12" s="398"/>
      <c r="AS12" s="398"/>
      <c r="AT12" s="398"/>
      <c r="AU12" s="398"/>
      <c r="AV12" s="398"/>
      <c r="AW12" s="398"/>
      <c r="AX12" s="398"/>
      <c r="AY12" s="398"/>
      <c r="AZ12" s="398"/>
      <c r="BA12" s="398"/>
      <c r="BB12" s="398"/>
      <c r="BC12" s="399"/>
      <c r="BD12" s="150"/>
      <c r="BE12" s="150"/>
      <c r="BF12" s="150"/>
      <c r="BG12" s="151"/>
    </row>
    <row r="13" spans="2:86" ht="14.1" customHeight="1">
      <c r="B13" s="175"/>
      <c r="C13" s="317" t="s">
        <v>58</v>
      </c>
      <c r="D13" s="318"/>
      <c r="E13" s="318"/>
      <c r="F13" s="319"/>
      <c r="H13" s="71"/>
      <c r="I13" s="71"/>
      <c r="J13" s="71"/>
      <c r="K13" s="71"/>
      <c r="Y13" s="113"/>
      <c r="Z13" s="71"/>
      <c r="AA13" s="71"/>
      <c r="AB13" s="71"/>
      <c r="AC13" s="71"/>
      <c r="AD13" s="317" t="s">
        <v>59</v>
      </c>
      <c r="AE13" s="318"/>
      <c r="AF13" s="318"/>
      <c r="AG13" s="318"/>
      <c r="AH13" s="318"/>
      <c r="AI13" s="319"/>
      <c r="AP13" s="400" t="s">
        <v>60</v>
      </c>
      <c r="AQ13" s="401"/>
      <c r="AR13" s="401"/>
      <c r="AS13" s="401"/>
      <c r="AT13" s="401"/>
      <c r="AU13" s="401"/>
      <c r="AV13" s="401"/>
      <c r="AW13" s="401"/>
      <c r="AX13" s="401"/>
      <c r="AY13" s="401"/>
      <c r="AZ13" s="401"/>
      <c r="BA13" s="401"/>
      <c r="BB13" s="401"/>
      <c r="BC13" s="402"/>
      <c r="BD13" s="150"/>
      <c r="BE13" s="150"/>
      <c r="BF13" s="150"/>
      <c r="BG13" s="151"/>
    </row>
    <row r="14" spans="2:86" ht="14.1" customHeight="1">
      <c r="B14" s="175"/>
      <c r="C14" s="320"/>
      <c r="D14" s="321"/>
      <c r="E14" s="321"/>
      <c r="F14" s="322"/>
      <c r="H14" s="71"/>
      <c r="I14" s="71"/>
      <c r="J14" s="71"/>
      <c r="K14" s="71"/>
      <c r="Y14" s="113"/>
      <c r="Z14" s="71"/>
      <c r="AA14" s="71"/>
      <c r="AB14" s="71"/>
      <c r="AC14" s="71"/>
      <c r="AD14" s="320"/>
      <c r="AE14" s="321"/>
      <c r="AF14" s="321"/>
      <c r="AG14" s="321"/>
      <c r="AH14" s="321"/>
      <c r="AI14" s="322"/>
      <c r="AP14" s="403"/>
      <c r="AQ14" s="404"/>
      <c r="AR14" s="404"/>
      <c r="AS14" s="404"/>
      <c r="AT14" s="404"/>
      <c r="AU14" s="404"/>
      <c r="AV14" s="404"/>
      <c r="AW14" s="404"/>
      <c r="AX14" s="404"/>
      <c r="AY14" s="404"/>
      <c r="AZ14" s="404"/>
      <c r="BA14" s="404"/>
      <c r="BB14" s="404"/>
      <c r="BC14" s="405"/>
      <c r="BD14" s="150"/>
      <c r="BE14" s="150"/>
      <c r="BF14" s="150"/>
      <c r="BG14" s="151"/>
    </row>
    <row r="15" spans="2:86" ht="14.1" customHeight="1" thickBot="1">
      <c r="B15" s="175"/>
      <c r="C15" s="323"/>
      <c r="D15" s="324"/>
      <c r="E15" s="324"/>
      <c r="F15" s="325"/>
      <c r="H15" s="71"/>
      <c r="I15" s="71"/>
      <c r="J15" s="71"/>
      <c r="K15" s="71"/>
      <c r="Y15" s="113"/>
      <c r="Z15" s="71"/>
      <c r="AA15" s="71"/>
      <c r="AB15" s="71"/>
      <c r="AC15" s="71"/>
      <c r="AD15" s="323"/>
      <c r="AE15" s="324"/>
      <c r="AF15" s="324"/>
      <c r="AG15" s="324"/>
      <c r="AH15" s="324"/>
      <c r="AI15" s="325"/>
      <c r="AP15" s="406"/>
      <c r="AQ15" s="407"/>
      <c r="AR15" s="407"/>
      <c r="AS15" s="407"/>
      <c r="AT15" s="407"/>
      <c r="AU15" s="407"/>
      <c r="AV15" s="407"/>
      <c r="AW15" s="407"/>
      <c r="AX15" s="407"/>
      <c r="AY15" s="407"/>
      <c r="AZ15" s="407"/>
      <c r="BA15" s="407"/>
      <c r="BB15" s="407"/>
      <c r="BC15" s="408"/>
      <c r="BD15" s="150"/>
      <c r="BE15" s="150"/>
      <c r="BF15" s="150"/>
      <c r="BG15" s="151"/>
    </row>
    <row r="16" spans="2:86" ht="14.1" customHeight="1" thickBot="1">
      <c r="B16" s="176"/>
      <c r="C16"/>
      <c r="H16" s="71"/>
      <c r="I16" s="71"/>
      <c r="J16" s="71"/>
      <c r="K16" s="71"/>
      <c r="Y16" s="113"/>
      <c r="Z16" s="71"/>
      <c r="AA16" s="71"/>
      <c r="AB16" s="71"/>
      <c r="AC16" s="71"/>
      <c r="AD16" s="71"/>
      <c r="AE16" s="71"/>
      <c r="AH16" s="113"/>
      <c r="AI16" s="49"/>
      <c r="AP16" s="113"/>
      <c r="AQ16" s="113"/>
      <c r="AR16" s="113"/>
      <c r="AS16" s="113"/>
      <c r="AY16" s="71"/>
      <c r="AZ16" s="71"/>
      <c r="BA16" s="71"/>
      <c r="BC16" s="70"/>
      <c r="BD16" s="277"/>
      <c r="BE16" s="202"/>
      <c r="BF16" s="202"/>
      <c r="BG16" s="278"/>
    </row>
    <row r="17" spans="2:59" ht="15.95" thickBot="1">
      <c r="B17" s="12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11"/>
      <c r="BD17" s="19"/>
      <c r="BE17" s="20"/>
      <c r="BF17" s="20"/>
      <c r="BG17" s="21"/>
    </row>
    <row r="18" spans="2:59" ht="14.85" customHeight="1">
      <c r="B18" s="229" t="s">
        <v>24</v>
      </c>
      <c r="C18" s="37"/>
      <c r="D18" s="37"/>
      <c r="E18" s="37"/>
      <c r="F18" s="37"/>
      <c r="G18" s="37"/>
      <c r="H18" s="38"/>
      <c r="I18" s="39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17"/>
      <c r="BE18" s="23"/>
      <c r="BF18" s="23"/>
      <c r="BG18" s="18"/>
    </row>
    <row r="19" spans="2:59" ht="14.85" customHeight="1">
      <c r="B19" s="230"/>
      <c r="C19" s="37"/>
      <c r="D19" s="37"/>
      <c r="E19" s="37"/>
      <c r="F19" s="37"/>
      <c r="G19" s="37"/>
      <c r="K19"/>
      <c r="M19" s="172" t="s">
        <v>25</v>
      </c>
      <c r="N19" s="264"/>
      <c r="O19" s="265"/>
      <c r="P19"/>
      <c r="Q19"/>
      <c r="R19"/>
      <c r="S19"/>
      <c r="T19" s="37"/>
      <c r="U19" s="37"/>
      <c r="V19" s="37"/>
      <c r="W19" s="37"/>
      <c r="X19" s="37"/>
      <c r="Y19" s="37"/>
      <c r="Z19" s="37"/>
      <c r="AA19" s="37"/>
      <c r="AB19" s="37"/>
      <c r="AC19" s="47"/>
      <c r="AD19" s="47"/>
      <c r="AE19" s="47"/>
      <c r="AF19" s="172" t="s">
        <v>26</v>
      </c>
      <c r="AG19" s="172"/>
      <c r="AH19" s="173"/>
      <c r="AJ19" s="42"/>
      <c r="AK19" s="42"/>
      <c r="AL19" s="42"/>
      <c r="AM19" s="37"/>
      <c r="AN19" s="37"/>
      <c r="AO19" s="37"/>
      <c r="AP19" s="37"/>
      <c r="AQ19" s="47"/>
      <c r="AR19" s="47"/>
      <c r="AS19" s="47"/>
      <c r="AT19" s="47"/>
      <c r="AU19" s="172" t="s">
        <v>27</v>
      </c>
      <c r="AV19" s="172"/>
      <c r="AW19" s="173"/>
      <c r="AX19" s="37"/>
      <c r="AY19" s="37"/>
      <c r="BC19" s="37"/>
      <c r="BD19" s="17"/>
      <c r="BE19" s="23"/>
      <c r="BF19" s="23"/>
      <c r="BG19" s="18"/>
    </row>
    <row r="20" spans="2:59" ht="14.45" customHeight="1">
      <c r="B20" s="230"/>
      <c r="C20" s="37"/>
      <c r="D20" s="37"/>
      <c r="E20" s="37"/>
      <c r="F20" s="37"/>
      <c r="G20" s="37"/>
      <c r="K20"/>
      <c r="M20" s="326" t="s">
        <v>61</v>
      </c>
      <c r="N20" s="318"/>
      <c r="O20" s="327"/>
      <c r="P20"/>
      <c r="Q20"/>
      <c r="R20"/>
      <c r="S20"/>
      <c r="T20" s="37"/>
      <c r="AA20" s="37"/>
      <c r="AB20" s="37"/>
      <c r="AC20" s="47"/>
      <c r="AD20" s="47"/>
      <c r="AE20" s="47"/>
      <c r="AF20" s="326" t="s">
        <v>62</v>
      </c>
      <c r="AG20" s="318"/>
      <c r="AH20" s="327"/>
      <c r="AJ20" s="42"/>
      <c r="AK20" s="42"/>
      <c r="AL20" s="42"/>
      <c r="AM20" s="37"/>
      <c r="AN20" s="37"/>
      <c r="AO20" s="37"/>
      <c r="AP20" s="37"/>
      <c r="AQ20" s="42"/>
      <c r="AR20" s="42"/>
      <c r="AS20" s="42"/>
      <c r="AT20" s="42"/>
      <c r="AU20" s="326" t="s">
        <v>62</v>
      </c>
      <c r="AV20" s="318"/>
      <c r="AW20" s="327"/>
      <c r="AX20" s="37"/>
      <c r="AY20" s="37"/>
      <c r="BC20" s="37"/>
      <c r="BD20" s="17"/>
      <c r="BE20" s="23"/>
      <c r="BF20" s="23"/>
      <c r="BG20" s="18"/>
    </row>
    <row r="21" spans="2:59" ht="12.6" customHeight="1">
      <c r="B21" s="230"/>
      <c r="C21" s="37"/>
      <c r="D21" s="37"/>
      <c r="E21" s="37"/>
      <c r="F21" s="37"/>
      <c r="G21" s="37"/>
      <c r="K21"/>
      <c r="M21" s="328"/>
      <c r="N21" s="321"/>
      <c r="O21" s="329"/>
      <c r="P21"/>
      <c r="Q21"/>
      <c r="R21"/>
      <c r="S21"/>
      <c r="T21" s="37"/>
      <c r="AA21" s="37"/>
      <c r="AB21" s="37"/>
      <c r="AC21" s="37"/>
      <c r="AD21" s="37"/>
      <c r="AE21" s="37"/>
      <c r="AF21" s="328"/>
      <c r="AG21" s="321"/>
      <c r="AH21" s="329"/>
      <c r="AJ21" s="39"/>
      <c r="AK21" s="37"/>
      <c r="AL21" s="37"/>
      <c r="AM21" s="40"/>
      <c r="AN21" s="40"/>
      <c r="AO21" s="40"/>
      <c r="AP21" s="41"/>
      <c r="AQ21" s="39"/>
      <c r="AR21" s="37"/>
      <c r="AS21" s="37"/>
      <c r="AT21" s="37"/>
      <c r="AU21" s="328"/>
      <c r="AV21" s="321"/>
      <c r="AW21" s="329"/>
      <c r="AX21" s="40"/>
      <c r="AY21" s="40"/>
      <c r="AZ21" s="41"/>
      <c r="BA21" s="37"/>
      <c r="BB21" s="37"/>
      <c r="BC21" s="37"/>
      <c r="BD21" s="17"/>
      <c r="BE21" s="23"/>
      <c r="BF21" s="23"/>
      <c r="BG21" s="18"/>
    </row>
    <row r="22" spans="2:59" ht="12.6" customHeight="1">
      <c r="B22" s="230"/>
      <c r="C22" s="37"/>
      <c r="D22" s="37"/>
      <c r="E22" s="37"/>
      <c r="F22" s="37"/>
      <c r="G22" s="37"/>
      <c r="K22"/>
      <c r="M22" s="330"/>
      <c r="N22" s="331"/>
      <c r="O22" s="332"/>
      <c r="P22"/>
      <c r="Q22"/>
      <c r="R22"/>
      <c r="S22"/>
      <c r="T22" s="37"/>
      <c r="AA22" s="37"/>
      <c r="AB22" s="37"/>
      <c r="AC22" s="37"/>
      <c r="AD22" s="37"/>
      <c r="AE22" s="37"/>
      <c r="AF22" s="330"/>
      <c r="AG22" s="331"/>
      <c r="AH22" s="332"/>
      <c r="AJ22" s="39"/>
      <c r="AK22" s="37"/>
      <c r="AL22" s="37"/>
      <c r="AM22" s="40"/>
      <c r="AN22" s="40"/>
      <c r="AO22" s="40"/>
      <c r="AP22" s="41"/>
      <c r="AQ22" s="39"/>
      <c r="AR22" s="37"/>
      <c r="AS22" s="37"/>
      <c r="AT22" s="37"/>
      <c r="AU22" s="330"/>
      <c r="AV22" s="331"/>
      <c r="AW22" s="332"/>
      <c r="AX22" s="40"/>
      <c r="AY22" s="40"/>
      <c r="AZ22" s="41"/>
      <c r="BA22" s="37"/>
      <c r="BB22" s="37"/>
      <c r="BC22" s="37"/>
      <c r="BD22" s="17"/>
      <c r="BE22" s="23"/>
      <c r="BF22" s="23"/>
      <c r="BG22" s="18"/>
    </row>
    <row r="23" spans="2:59" ht="12.6" customHeight="1">
      <c r="B23" s="230"/>
      <c r="C23" s="37"/>
      <c r="D23" s="37"/>
      <c r="E23" s="37"/>
      <c r="F23" s="37"/>
      <c r="G23" s="37"/>
      <c r="H23" s="38"/>
      <c r="I23" s="39"/>
      <c r="J23" s="37"/>
      <c r="K23"/>
      <c r="L23"/>
      <c r="M23"/>
      <c r="N23"/>
      <c r="O23"/>
      <c r="P23"/>
      <c r="Q23"/>
      <c r="R23"/>
      <c r="S23"/>
      <c r="T23" s="37"/>
      <c r="AA23" s="37"/>
      <c r="AB23" s="37"/>
      <c r="AC23" s="37"/>
      <c r="AD23" s="37"/>
      <c r="AE23" s="37"/>
      <c r="AF23"/>
      <c r="AG23"/>
      <c r="AH23"/>
      <c r="AI23" s="37"/>
      <c r="AJ23" s="39"/>
      <c r="AK23" s="37"/>
      <c r="AL23" s="37"/>
      <c r="AM23" s="40"/>
      <c r="AN23" s="40"/>
      <c r="AO23" s="40"/>
      <c r="AP23" s="41"/>
      <c r="AQ23" s="39"/>
      <c r="AR23" s="37"/>
      <c r="AS23" s="37"/>
      <c r="AT23" s="37"/>
      <c r="AU23"/>
      <c r="AV23"/>
      <c r="AW23"/>
      <c r="AX23" s="40"/>
      <c r="AY23" s="40"/>
      <c r="AZ23" s="41"/>
      <c r="BA23" s="37"/>
      <c r="BB23" s="37"/>
      <c r="BC23" s="37"/>
      <c r="BD23" s="17"/>
      <c r="BE23" s="23"/>
      <c r="BF23" s="23"/>
      <c r="BG23" s="18"/>
    </row>
    <row r="24" spans="2:59" ht="12.6" customHeight="1">
      <c r="B24" s="230"/>
      <c r="C24" s="37"/>
      <c r="D24" s="37"/>
      <c r="E24" s="37"/>
      <c r="F24" s="37"/>
      <c r="G24" s="37"/>
      <c r="H24" s="223" t="s">
        <v>28</v>
      </c>
      <c r="I24" s="336"/>
      <c r="J24" s="336"/>
      <c r="K24" s="337"/>
      <c r="L24"/>
      <c r="S24"/>
      <c r="T24" s="37"/>
      <c r="AA24" s="37"/>
      <c r="AB24" s="37"/>
      <c r="AC24" s="37"/>
      <c r="AD24" s="37"/>
      <c r="AE24" s="37"/>
      <c r="AF24"/>
      <c r="AG24" s="291" t="s">
        <v>28</v>
      </c>
      <c r="AH24" s="338"/>
      <c r="AI24" s="338"/>
      <c r="AJ24" s="339"/>
      <c r="AK24" s="37"/>
      <c r="AL24" s="37"/>
      <c r="AM24" s="40"/>
      <c r="AN24" s="40"/>
      <c r="AO24" s="40"/>
      <c r="AP24" s="41"/>
      <c r="AQ24" s="39"/>
      <c r="AR24" s="37"/>
      <c r="AS24" s="37"/>
      <c r="AT24" s="37"/>
      <c r="AU24"/>
      <c r="AV24"/>
      <c r="AW24"/>
      <c r="AX24" s="40"/>
      <c r="AY24" s="40"/>
      <c r="AZ24" s="41"/>
      <c r="BA24" s="37"/>
      <c r="BB24" s="37"/>
      <c r="BC24" s="37"/>
      <c r="BD24" s="17"/>
      <c r="BE24" s="23"/>
      <c r="BF24" s="23"/>
      <c r="BG24" s="18"/>
    </row>
    <row r="25" spans="2:59" ht="12.6" customHeight="1">
      <c r="B25" s="230"/>
      <c r="C25" s="37"/>
      <c r="D25" s="37"/>
      <c r="E25" s="37"/>
      <c r="F25" s="37"/>
      <c r="G25" s="37"/>
      <c r="H25" s="326" t="s">
        <v>62</v>
      </c>
      <c r="I25" s="318"/>
      <c r="J25" s="318"/>
      <c r="K25" s="327"/>
      <c r="L25"/>
      <c r="S25"/>
      <c r="T25" s="37"/>
      <c r="AA25" s="37"/>
      <c r="AB25" s="37"/>
      <c r="AC25" s="37"/>
      <c r="AD25" s="37"/>
      <c r="AE25" s="37"/>
      <c r="AF25"/>
      <c r="AG25" s="328" t="s">
        <v>62</v>
      </c>
      <c r="AH25" s="321"/>
      <c r="AI25" s="321"/>
      <c r="AJ25" s="329"/>
      <c r="AK25" s="37"/>
      <c r="AL25" s="37"/>
      <c r="AM25" s="40"/>
      <c r="AN25" s="40"/>
      <c r="AO25" s="40"/>
      <c r="AP25" s="41"/>
      <c r="AQ25" s="39"/>
      <c r="AR25" s="37"/>
      <c r="AS25" s="37"/>
      <c r="AT25" s="37"/>
      <c r="AU25"/>
      <c r="AV25"/>
      <c r="AW25"/>
      <c r="AX25" s="40"/>
      <c r="AY25" s="40"/>
      <c r="AZ25" s="41"/>
      <c r="BA25" s="37"/>
      <c r="BB25" s="37"/>
      <c r="BC25" s="37"/>
      <c r="BD25" s="17"/>
      <c r="BE25" s="23"/>
      <c r="BF25" s="23"/>
      <c r="BG25" s="18"/>
    </row>
    <row r="26" spans="2:59" ht="12.6" customHeight="1">
      <c r="B26" s="230"/>
      <c r="C26" s="37"/>
      <c r="D26" s="37"/>
      <c r="E26" s="37"/>
      <c r="F26" s="37"/>
      <c r="G26" s="37"/>
      <c r="H26" s="328"/>
      <c r="I26" s="321"/>
      <c r="J26" s="321"/>
      <c r="K26" s="329"/>
      <c r="L26"/>
      <c r="S26"/>
      <c r="T26" s="37"/>
      <c r="AA26" s="37"/>
      <c r="AB26" s="37"/>
      <c r="AC26" s="37"/>
      <c r="AD26" s="37"/>
      <c r="AE26" s="37"/>
      <c r="AF26"/>
      <c r="AG26" s="328"/>
      <c r="AH26" s="321"/>
      <c r="AI26" s="321"/>
      <c r="AJ26" s="329"/>
      <c r="AK26"/>
      <c r="AL26" s="37"/>
      <c r="AM26" s="40"/>
      <c r="AN26" s="40"/>
      <c r="AO26" s="40"/>
      <c r="AP26" s="41"/>
      <c r="AQ26" s="39"/>
      <c r="AR26" s="37"/>
      <c r="AS26" s="37"/>
      <c r="AT26" s="37"/>
      <c r="AU26"/>
      <c r="AV26"/>
      <c r="AW26"/>
      <c r="AX26" s="40"/>
      <c r="AY26" s="40"/>
      <c r="AZ26" s="41"/>
      <c r="BA26" s="37"/>
      <c r="BB26" s="37"/>
      <c r="BC26" s="37"/>
      <c r="BD26" s="17"/>
      <c r="BE26" s="23"/>
      <c r="BF26" s="23"/>
      <c r="BG26" s="18"/>
    </row>
    <row r="27" spans="2:59" ht="12.6" customHeight="1">
      <c r="B27" s="230"/>
      <c r="C27" s="37"/>
      <c r="D27" s="37"/>
      <c r="E27" s="37"/>
      <c r="F27" s="37"/>
      <c r="G27" s="37"/>
      <c r="H27" s="330"/>
      <c r="I27" s="331"/>
      <c r="J27" s="331"/>
      <c r="K27" s="332"/>
      <c r="L27"/>
      <c r="S27"/>
      <c r="T27" s="37"/>
      <c r="AA27" s="37"/>
      <c r="AB27" s="37"/>
      <c r="AC27" s="37"/>
      <c r="AD27" s="37"/>
      <c r="AE27" s="37"/>
      <c r="AF27"/>
      <c r="AG27" s="330"/>
      <c r="AH27" s="331"/>
      <c r="AI27" s="331"/>
      <c r="AJ27" s="332"/>
      <c r="AK27"/>
      <c r="AL27" s="37"/>
      <c r="AM27" s="40"/>
      <c r="AN27" s="40"/>
      <c r="AO27" s="40"/>
      <c r="AP27" s="41"/>
      <c r="AQ27" s="39"/>
      <c r="AR27" s="37"/>
      <c r="AS27" s="37"/>
      <c r="AT27" s="37"/>
      <c r="AU27"/>
      <c r="AV27"/>
      <c r="AW27"/>
      <c r="AX27" s="40"/>
      <c r="AY27" s="40"/>
      <c r="AZ27" s="41"/>
      <c r="BA27" s="37"/>
      <c r="BB27" s="37"/>
      <c r="BC27" s="37"/>
      <c r="BD27" s="17"/>
      <c r="BE27" s="23"/>
      <c r="BF27" s="23"/>
      <c r="BG27" s="18"/>
    </row>
    <row r="28" spans="2:59" ht="12.6" customHeight="1">
      <c r="B28" s="230"/>
      <c r="C28" s="37"/>
      <c r="D28" s="37"/>
      <c r="E28" s="37"/>
      <c r="F28" s="37"/>
      <c r="G28" s="37"/>
      <c r="H28" s="38"/>
      <c r="I28" s="39"/>
      <c r="J28" s="37"/>
      <c r="K28"/>
      <c r="L28"/>
      <c r="M28"/>
      <c r="N28"/>
      <c r="O28"/>
      <c r="P28"/>
      <c r="Q28"/>
      <c r="R28"/>
      <c r="S28"/>
      <c r="T28" s="37"/>
      <c r="AA28" s="37"/>
      <c r="AB28" s="37"/>
      <c r="AC28" s="37"/>
      <c r="AD28" s="37"/>
      <c r="AE28" s="37"/>
      <c r="AF28" s="37"/>
      <c r="AG28"/>
      <c r="AH28"/>
      <c r="AI28"/>
      <c r="AJ28"/>
      <c r="AK28"/>
      <c r="AL28" s="37"/>
      <c r="AM28" s="40"/>
      <c r="AN28" s="40"/>
      <c r="AO28" s="40"/>
      <c r="AP28" s="41"/>
      <c r="AQ28" s="39"/>
      <c r="AR28" s="37"/>
      <c r="AS28" s="37"/>
      <c r="AT28" s="37"/>
      <c r="AU28" s="37"/>
      <c r="AV28" s="40"/>
      <c r="AW28" s="40"/>
      <c r="AX28" s="40"/>
      <c r="AY28" s="40"/>
      <c r="AZ28" s="41"/>
      <c r="BA28" s="37"/>
      <c r="BB28" s="37"/>
      <c r="BC28" s="37"/>
      <c r="BD28" s="17"/>
      <c r="BE28" s="23"/>
      <c r="BF28" s="23"/>
      <c r="BG28" s="18"/>
    </row>
    <row r="29" spans="2:59" ht="12.6" customHeight="1" thickBot="1">
      <c r="B29" s="12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11"/>
      <c r="BD29" s="19"/>
      <c r="BE29" s="20"/>
      <c r="BF29" s="20"/>
      <c r="BG29" s="21"/>
    </row>
    <row r="30" spans="2:59" ht="12.6" customHeight="1">
      <c r="B30" s="224" t="s">
        <v>29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 s="36"/>
      <c r="BB30" s="36"/>
      <c r="BC30" s="36"/>
      <c r="BD30" s="149"/>
      <c r="BE30" s="150"/>
      <c r="BF30" s="150"/>
      <c r="BG30" s="151"/>
    </row>
    <row r="31" spans="2:59" ht="12.6" customHeight="1">
      <c r="B31" s="225"/>
      <c r="C31" s="36"/>
      <c r="D31" s="36"/>
      <c r="E31" s="36"/>
      <c r="F31" s="36"/>
      <c r="G31" s="36"/>
      <c r="M31" s="36"/>
      <c r="N31" s="36"/>
      <c r="O31"/>
      <c r="P31"/>
      <c r="Q31"/>
      <c r="R31"/>
      <c r="S31"/>
      <c r="T31"/>
      <c r="U31"/>
      <c r="V31" s="212" t="s">
        <v>30</v>
      </c>
      <c r="W31" s="213"/>
      <c r="X31" s="213"/>
      <c r="Y31" s="213"/>
      <c r="Z31" s="214"/>
      <c r="AA31"/>
      <c r="AB31"/>
      <c r="AC31"/>
      <c r="AD31"/>
      <c r="AE31"/>
      <c r="AF31"/>
      <c r="AG31"/>
      <c r="AH31"/>
      <c r="AI31"/>
      <c r="AJ31"/>
      <c r="AK31" s="212" t="s">
        <v>30</v>
      </c>
      <c r="AL31" s="213"/>
      <c r="AM31" s="214"/>
      <c r="AQ31"/>
      <c r="AR31"/>
      <c r="AS31"/>
      <c r="AT31"/>
      <c r="AU31"/>
      <c r="AV31" s="212" t="s">
        <v>30</v>
      </c>
      <c r="AW31" s="213"/>
      <c r="AX31" s="214"/>
      <c r="AY31"/>
      <c r="AZ31"/>
      <c r="BA31" s="47"/>
      <c r="BB31" s="47"/>
      <c r="BC31" s="36"/>
      <c r="BD31" s="149"/>
      <c r="BE31" s="150"/>
      <c r="BF31" s="150"/>
      <c r="BG31" s="151"/>
    </row>
    <row r="32" spans="2:59" ht="12.6" customHeight="1">
      <c r="B32" s="225"/>
      <c r="C32" s="36"/>
      <c r="D32" s="36"/>
      <c r="E32" s="36"/>
      <c r="F32" s="36"/>
      <c r="G32" s="36"/>
      <c r="M32" s="36"/>
      <c r="N32" s="36"/>
      <c r="O32"/>
      <c r="P32"/>
      <c r="Q32"/>
      <c r="R32"/>
      <c r="S32"/>
      <c r="T32"/>
      <c r="U32"/>
      <c r="V32" s="317" t="s">
        <v>62</v>
      </c>
      <c r="W32" s="318"/>
      <c r="X32" s="318"/>
      <c r="Y32" s="318"/>
      <c r="Z32" s="319"/>
      <c r="AA32"/>
      <c r="AB32"/>
      <c r="AC32"/>
      <c r="AD32"/>
      <c r="AE32"/>
      <c r="AF32"/>
      <c r="AG32"/>
      <c r="AH32"/>
      <c r="AI32"/>
      <c r="AJ32"/>
      <c r="AK32" s="317" t="s">
        <v>62</v>
      </c>
      <c r="AL32" s="318"/>
      <c r="AM32" s="319"/>
      <c r="AQ32"/>
      <c r="AR32"/>
      <c r="AS32"/>
      <c r="AT32"/>
      <c r="AU32"/>
      <c r="AV32" s="317" t="s">
        <v>62</v>
      </c>
      <c r="AW32" s="318"/>
      <c r="AX32" s="319"/>
      <c r="AY32"/>
      <c r="AZ32"/>
      <c r="BA32" s="42"/>
      <c r="BB32" s="42"/>
      <c r="BC32" s="36"/>
      <c r="BD32" s="149"/>
      <c r="BE32" s="150"/>
      <c r="BF32" s="150"/>
      <c r="BG32" s="151"/>
    </row>
    <row r="33" spans="2:59" ht="12.6" customHeight="1">
      <c r="B33" s="225"/>
      <c r="C33" s="36"/>
      <c r="D33" s="36"/>
      <c r="E33" s="36"/>
      <c r="F33" s="36"/>
      <c r="G33" s="36"/>
      <c r="M33" s="36"/>
      <c r="N33" s="36"/>
      <c r="O33" s="36"/>
      <c r="P33" s="36"/>
      <c r="Q33" s="36"/>
      <c r="R33" s="36"/>
      <c r="S33" s="36"/>
      <c r="T33"/>
      <c r="U33"/>
      <c r="V33" s="320"/>
      <c r="W33" s="321"/>
      <c r="X33" s="321"/>
      <c r="Y33" s="321"/>
      <c r="Z33" s="322"/>
      <c r="AA33"/>
      <c r="AB33"/>
      <c r="AC33"/>
      <c r="AD33"/>
      <c r="AE33"/>
      <c r="AF33"/>
      <c r="AG33"/>
      <c r="AH33"/>
      <c r="AI33"/>
      <c r="AJ33"/>
      <c r="AK33" s="320"/>
      <c r="AL33" s="321"/>
      <c r="AM33" s="322"/>
      <c r="AQ33"/>
      <c r="AR33"/>
      <c r="AS33"/>
      <c r="AT33"/>
      <c r="AU33"/>
      <c r="AV33" s="320"/>
      <c r="AW33" s="321"/>
      <c r="AX33" s="322"/>
      <c r="AY33"/>
      <c r="AZ33"/>
      <c r="BA33" s="36"/>
      <c r="BB33" s="36"/>
      <c r="BC33" s="36"/>
      <c r="BD33" s="149"/>
      <c r="BE33" s="150"/>
      <c r="BF33" s="150"/>
      <c r="BG33" s="151"/>
    </row>
    <row r="34" spans="2:59" ht="12.6" customHeight="1">
      <c r="B34" s="225"/>
      <c r="C34" s="36"/>
      <c r="D34" s="36"/>
      <c r="E34" s="36"/>
      <c r="F34" s="36"/>
      <c r="G34" s="36"/>
      <c r="M34" s="36"/>
      <c r="N34" s="36"/>
      <c r="O34" s="36"/>
      <c r="P34" s="36"/>
      <c r="Q34" s="36"/>
      <c r="R34" s="36"/>
      <c r="S34" s="36"/>
      <c r="T34"/>
      <c r="U34"/>
      <c r="V34" s="323"/>
      <c r="W34" s="324"/>
      <c r="X34" s="324"/>
      <c r="Y34" s="324"/>
      <c r="Z34" s="325"/>
      <c r="AA34"/>
      <c r="AB34"/>
      <c r="AC34"/>
      <c r="AD34"/>
      <c r="AE34"/>
      <c r="AF34"/>
      <c r="AG34"/>
      <c r="AH34"/>
      <c r="AI34"/>
      <c r="AJ34"/>
      <c r="AK34" s="323"/>
      <c r="AL34" s="324"/>
      <c r="AM34" s="325"/>
      <c r="AQ34"/>
      <c r="AR34"/>
      <c r="AS34"/>
      <c r="AT34"/>
      <c r="AU34"/>
      <c r="AV34" s="323"/>
      <c r="AW34" s="324"/>
      <c r="AX34" s="325"/>
      <c r="AY34"/>
      <c r="AZ34"/>
      <c r="BA34" s="36"/>
      <c r="BB34" s="36"/>
      <c r="BC34" s="36"/>
      <c r="BD34" s="149"/>
      <c r="BE34" s="150"/>
      <c r="BF34" s="150"/>
      <c r="BG34" s="151"/>
    </row>
    <row r="35" spans="2:59" ht="12.6" customHeight="1">
      <c r="B35" s="225"/>
      <c r="C35" s="36"/>
      <c r="D35" s="36"/>
      <c r="E35" s="36"/>
      <c r="F35" s="36"/>
      <c r="G35" s="36"/>
      <c r="M35" s="36"/>
      <c r="N35" s="36"/>
      <c r="O35" s="36"/>
      <c r="P35" s="36"/>
      <c r="Q35" s="36"/>
      <c r="R35" s="36"/>
      <c r="S35" s="36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 s="36"/>
      <c r="BB35" s="36"/>
      <c r="BC35" s="36"/>
      <c r="BD35" s="149"/>
      <c r="BE35" s="150"/>
      <c r="BF35" s="150"/>
      <c r="BG35" s="151"/>
    </row>
    <row r="36" spans="2:59" ht="15.6">
      <c r="B36" s="12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19"/>
      <c r="BE36" s="20"/>
      <c r="BF36" s="20"/>
      <c r="BG36" s="21"/>
    </row>
    <row r="37" spans="2:59" ht="12.6" customHeight="1" thickBot="1">
      <c r="B37" s="234" t="s">
        <v>31</v>
      </c>
      <c r="D37" s="14"/>
      <c r="E37" s="14"/>
      <c r="F37" s="14"/>
      <c r="G37" s="14"/>
      <c r="H37" s="14"/>
      <c r="I37" s="14"/>
      <c r="J37" s="14"/>
      <c r="K37" s="14"/>
      <c r="L37" s="14"/>
      <c r="M37" s="116"/>
      <c r="N37" s="116"/>
      <c r="O37" s="116"/>
      <c r="P37" s="116"/>
      <c r="Q37" s="116"/>
      <c r="R37" s="116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6"/>
      <c r="AF37" s="116"/>
      <c r="AG37" s="116"/>
      <c r="AH37" s="116"/>
      <c r="AI37" s="117"/>
      <c r="AJ37" s="117"/>
      <c r="AK37" s="117"/>
      <c r="AL37" s="117"/>
      <c r="AM37" s="117"/>
      <c r="AN37" s="117"/>
      <c r="AO37" s="117"/>
      <c r="AP37" s="117"/>
      <c r="AQ37" s="118"/>
      <c r="AR37" s="118"/>
      <c r="AS37" s="118"/>
      <c r="AT37" s="118"/>
      <c r="AU37" s="118"/>
      <c r="AV37" s="14"/>
      <c r="AW37" s="14"/>
      <c r="AX37" s="14"/>
      <c r="AY37" s="14"/>
      <c r="AZ37" s="14"/>
      <c r="BA37" s="14"/>
      <c r="BB37" s="14"/>
      <c r="BC37" s="14"/>
      <c r="BD37" s="17"/>
      <c r="BE37" s="23"/>
      <c r="BF37" s="23"/>
      <c r="BG37" s="18"/>
    </row>
    <row r="38" spans="2:59" ht="12.6" customHeight="1">
      <c r="B38" s="235"/>
      <c r="C38"/>
      <c r="D38" s="261" t="s">
        <v>32</v>
      </c>
      <c r="E38" s="262"/>
      <c r="F38" s="262"/>
      <c r="G38" s="262"/>
      <c r="H38" s="263"/>
      <c r="I38"/>
      <c r="J38" s="261" t="s">
        <v>33</v>
      </c>
      <c r="K38" s="262"/>
      <c r="L38" s="263"/>
      <c r="M38"/>
      <c r="O38"/>
      <c r="P38"/>
      <c r="Q38"/>
      <c r="R38"/>
      <c r="S38"/>
      <c r="T38" s="243" t="s">
        <v>34</v>
      </c>
      <c r="U38" s="208"/>
      <c r="V38" s="208"/>
      <c r="W38" s="209"/>
      <c r="X38"/>
      <c r="Y38"/>
      <c r="Z38"/>
      <c r="AA38"/>
      <c r="AB38"/>
      <c r="AC38"/>
      <c r="AD38"/>
      <c r="AE38"/>
      <c r="AJ38"/>
      <c r="AM38" s="243" t="s">
        <v>35</v>
      </c>
      <c r="AN38" s="208"/>
      <c r="AO38" s="208"/>
      <c r="AP38" s="209"/>
      <c r="AQ38" s="247" t="s">
        <v>36</v>
      </c>
      <c r="AR38" s="248"/>
      <c r="AS38" s="248"/>
      <c r="AT38" s="249"/>
      <c r="AU38"/>
      <c r="AV38"/>
      <c r="AW38"/>
      <c r="AX38"/>
      <c r="AY38" s="48"/>
      <c r="BD38" s="17"/>
      <c r="BE38" s="23"/>
      <c r="BF38" s="23"/>
      <c r="BG38" s="18"/>
    </row>
    <row r="39" spans="2:59" ht="12.6" customHeight="1">
      <c r="B39" s="235"/>
      <c r="C39"/>
      <c r="D39" s="317" t="s">
        <v>63</v>
      </c>
      <c r="E39" s="318"/>
      <c r="F39" s="318"/>
      <c r="G39" s="318"/>
      <c r="H39" s="319"/>
      <c r="I39"/>
      <c r="J39" s="317" t="s">
        <v>64</v>
      </c>
      <c r="K39" s="318"/>
      <c r="L39" s="319"/>
      <c r="M39"/>
      <c r="O39"/>
      <c r="P39"/>
      <c r="Q39"/>
      <c r="R39"/>
      <c r="S39"/>
      <c r="T39" s="317" t="s">
        <v>64</v>
      </c>
      <c r="U39" s="318"/>
      <c r="V39" s="318"/>
      <c r="W39" s="319"/>
      <c r="X39"/>
      <c r="Y39"/>
      <c r="Z39"/>
      <c r="AA39"/>
      <c r="AB39"/>
      <c r="AC39"/>
      <c r="AD39"/>
      <c r="AE39"/>
      <c r="AJ39"/>
      <c r="AM39" s="317" t="s">
        <v>64</v>
      </c>
      <c r="AN39" s="318"/>
      <c r="AO39" s="318"/>
      <c r="AP39" s="319"/>
      <c r="AQ39" s="317" t="s">
        <v>62</v>
      </c>
      <c r="AR39" s="318"/>
      <c r="AS39" s="318"/>
      <c r="AT39" s="319"/>
      <c r="AU39"/>
      <c r="AV39"/>
      <c r="AW39"/>
      <c r="AX39"/>
      <c r="AY39" s="42"/>
      <c r="BD39" s="17"/>
      <c r="BE39" s="23"/>
      <c r="BF39" s="23"/>
      <c r="BG39" s="18"/>
    </row>
    <row r="40" spans="2:59" ht="12.6" customHeight="1">
      <c r="B40" s="235"/>
      <c r="C40"/>
      <c r="D40" s="320"/>
      <c r="E40" s="321"/>
      <c r="F40" s="321"/>
      <c r="G40" s="321"/>
      <c r="H40" s="322"/>
      <c r="I40"/>
      <c r="J40" s="320"/>
      <c r="K40" s="321"/>
      <c r="L40" s="322"/>
      <c r="M40"/>
      <c r="O40"/>
      <c r="P40"/>
      <c r="Q40"/>
      <c r="R40"/>
      <c r="S40"/>
      <c r="T40" s="320"/>
      <c r="U40" s="321"/>
      <c r="V40" s="321"/>
      <c r="W40" s="322"/>
      <c r="X40"/>
      <c r="Y40"/>
      <c r="Z40"/>
      <c r="AA40"/>
      <c r="AB40"/>
      <c r="AC40"/>
      <c r="AD40"/>
      <c r="AE40"/>
      <c r="AJ40"/>
      <c r="AM40" s="320"/>
      <c r="AN40" s="321"/>
      <c r="AO40" s="321"/>
      <c r="AP40" s="322"/>
      <c r="AQ40" s="320"/>
      <c r="AR40" s="321"/>
      <c r="AS40" s="321"/>
      <c r="AT40" s="322"/>
      <c r="AU40"/>
      <c r="AV40"/>
      <c r="AW40"/>
      <c r="AX40"/>
      <c r="BD40" s="17"/>
      <c r="BE40" s="23"/>
      <c r="BF40" s="23"/>
      <c r="BG40" s="18"/>
    </row>
    <row r="41" spans="2:59" ht="12.6" customHeight="1" thickBot="1">
      <c r="B41" s="235"/>
      <c r="C41"/>
      <c r="D41" s="323"/>
      <c r="E41" s="324"/>
      <c r="F41" s="324"/>
      <c r="G41" s="324"/>
      <c r="H41" s="325"/>
      <c r="I41"/>
      <c r="J41" s="323"/>
      <c r="K41" s="324"/>
      <c r="L41" s="325"/>
      <c r="M41"/>
      <c r="O41"/>
      <c r="P41"/>
      <c r="Q41"/>
      <c r="R41"/>
      <c r="S41"/>
      <c r="T41" s="323"/>
      <c r="U41" s="324"/>
      <c r="V41" s="324"/>
      <c r="W41" s="325"/>
      <c r="X41"/>
      <c r="Y41"/>
      <c r="Z41"/>
      <c r="AA41"/>
      <c r="AB41"/>
      <c r="AC41"/>
      <c r="AD41"/>
      <c r="AE41"/>
      <c r="AJ41"/>
      <c r="AM41" s="323"/>
      <c r="AN41" s="324"/>
      <c r="AO41" s="324"/>
      <c r="AP41" s="325"/>
      <c r="AQ41" s="323"/>
      <c r="AR41" s="324"/>
      <c r="AS41" s="324"/>
      <c r="AT41" s="325"/>
      <c r="AU41"/>
      <c r="AV41"/>
      <c r="AW41"/>
      <c r="AX41"/>
      <c r="BD41" s="17"/>
      <c r="BE41" s="23"/>
      <c r="BF41" s="23"/>
      <c r="BG41" s="18"/>
    </row>
    <row r="42" spans="2:59" ht="12.6" customHeight="1">
      <c r="B42" s="235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BD42" s="17"/>
      <c r="BE42" s="23"/>
      <c r="BF42" s="23"/>
      <c r="BG42" s="18"/>
    </row>
    <row r="43" spans="2:59" ht="12.6" customHeight="1" thickBot="1">
      <c r="B43" s="235"/>
      <c r="C43" s="340" t="s">
        <v>38</v>
      </c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240"/>
      <c r="BC43" s="270"/>
      <c r="BD43" s="17"/>
      <c r="BE43" s="23"/>
      <c r="BF43" s="23"/>
      <c r="BG43" s="18"/>
    </row>
    <row r="44" spans="2:59" ht="15.95" thickBot="1">
      <c r="B44" s="12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11"/>
      <c r="BD44" s="19"/>
      <c r="BE44" s="20"/>
      <c r="BF44" s="20"/>
      <c r="BG44" s="21"/>
    </row>
    <row r="45" spans="2:59" ht="15" customHeight="1" thickBot="1">
      <c r="B45" s="15" t="s">
        <v>44</v>
      </c>
      <c r="C45" s="16"/>
      <c r="D45" s="16"/>
      <c r="E45" s="1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168"/>
      <c r="BE45" s="195"/>
      <c r="BF45" s="195"/>
      <c r="BG45" s="196"/>
    </row>
  </sheetData>
  <mergeCells count="61">
    <mergeCell ref="AK32:AM34"/>
    <mergeCell ref="AV32:AX34"/>
    <mergeCell ref="D39:H41"/>
    <mergeCell ref="T39:W41"/>
    <mergeCell ref="AM39:AP41"/>
    <mergeCell ref="V32:Z34"/>
    <mergeCell ref="B37:B43"/>
    <mergeCell ref="D38:H38"/>
    <mergeCell ref="T38:W38"/>
    <mergeCell ref="AM38:AP38"/>
    <mergeCell ref="BD45:BG45"/>
    <mergeCell ref="C43:BC43"/>
    <mergeCell ref="AQ38:AT38"/>
    <mergeCell ref="AQ39:AT41"/>
    <mergeCell ref="J39:L41"/>
    <mergeCell ref="J38:L38"/>
    <mergeCell ref="AF19:AH19"/>
    <mergeCell ref="AU19:AW19"/>
    <mergeCell ref="C12:F12"/>
    <mergeCell ref="C13:F15"/>
    <mergeCell ref="AK31:AM31"/>
    <mergeCell ref="H24:K24"/>
    <mergeCell ref="AU20:AW22"/>
    <mergeCell ref="AF20:AH22"/>
    <mergeCell ref="M19:O19"/>
    <mergeCell ref="M20:O22"/>
    <mergeCell ref="AG24:AJ24"/>
    <mergeCell ref="AG25:AJ27"/>
    <mergeCell ref="AV31:AX31"/>
    <mergeCell ref="V31:Z31"/>
    <mergeCell ref="B3:B4"/>
    <mergeCell ref="D3:G3"/>
    <mergeCell ref="H3:K3"/>
    <mergeCell ref="L3:P3"/>
    <mergeCell ref="B30:B35"/>
    <mergeCell ref="H25:K27"/>
    <mergeCell ref="B18:B28"/>
    <mergeCell ref="P7:S7"/>
    <mergeCell ref="H8:K10"/>
    <mergeCell ref="P8:S10"/>
    <mergeCell ref="Q3:T3"/>
    <mergeCell ref="BD5:BG5"/>
    <mergeCell ref="B6:B16"/>
    <mergeCell ref="H7:K7"/>
    <mergeCell ref="Z7:AE7"/>
    <mergeCell ref="AY7:BA7"/>
    <mergeCell ref="Z8:AE10"/>
    <mergeCell ref="AY8:BA10"/>
    <mergeCell ref="AD12:AI12"/>
    <mergeCell ref="AD13:AI15"/>
    <mergeCell ref="BD16:BG16"/>
    <mergeCell ref="AP13:BC15"/>
    <mergeCell ref="AP12:BC12"/>
    <mergeCell ref="U3:X3"/>
    <mergeCell ref="AZ3:BC3"/>
    <mergeCell ref="Y3:AC3"/>
    <mergeCell ref="AD3:AG3"/>
    <mergeCell ref="AH3:AL3"/>
    <mergeCell ref="AM3:AP3"/>
    <mergeCell ref="AQ3:AT3"/>
    <mergeCell ref="AU3:AY3"/>
  </mergeCells>
  <pageMargins left="0.7" right="0.7" top="0.75" bottom="0.75" header="0.3" footer="0.3"/>
  <pageSetup paperSize="3" orientation="landscape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E427CDC8F4B40A700908DD9F296BE" ma:contentTypeVersion="18" ma:contentTypeDescription="Create a new document." ma:contentTypeScope="" ma:versionID="5ecf140c4e39a8aed96c40c9b347e7f8">
  <xsd:schema xmlns:xsd="http://www.w3.org/2001/XMLSchema" xmlns:xs="http://www.w3.org/2001/XMLSchema" xmlns:p="http://schemas.microsoft.com/office/2006/metadata/properties" xmlns:ns2="8ba0e35d-ff03-4106-9951-e8d1bcb322ec" xmlns:ns3="89738f03-01ce-497f-afee-8f9b7e814fb3" targetNamespace="http://schemas.microsoft.com/office/2006/metadata/properties" ma:root="true" ma:fieldsID="c4ce6a186ee40ed870c4a79d4be1d79f" ns2:_="" ns3:_="">
    <xsd:import namespace="8ba0e35d-ff03-4106-9951-e8d1bcb322ec"/>
    <xsd:import namespace="89738f03-01ce-497f-afee-8f9b7e814f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0e35d-ff03-4106-9951-e8d1bcb32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0576126-1159-4e35-a2bd-9606b6c67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38f03-01ce-497f-afee-8f9b7e814f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0795c5d-511f-4f67-8191-85040accb463}" ma:internalName="TaxCatchAll" ma:showField="CatchAllData" ma:web="89738f03-01ce-497f-afee-8f9b7e814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a0e35d-ff03-4106-9951-e8d1bcb322ec">
      <Terms xmlns="http://schemas.microsoft.com/office/infopath/2007/PartnerControls"/>
    </lcf76f155ced4ddcb4097134ff3c332f>
    <TaxCatchAll xmlns="89738f03-01ce-497f-afee-8f9b7e814f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71B81C-E49F-4AB9-B259-E5C775C34C05}"/>
</file>

<file path=customXml/itemProps2.xml><?xml version="1.0" encoding="utf-8"?>
<ds:datastoreItem xmlns:ds="http://schemas.openxmlformats.org/officeDocument/2006/customXml" ds:itemID="{5082CB82-9CE9-4BBA-A028-EF6EE8C30E35}"/>
</file>

<file path=customXml/itemProps3.xml><?xml version="1.0" encoding="utf-8"?>
<ds:datastoreItem xmlns:ds="http://schemas.openxmlformats.org/officeDocument/2006/customXml" ds:itemID="{B293965E-00B3-4CC8-BACC-7674C5ED3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Mirmira Vivek</dc:creator>
  <cp:keywords/>
  <dc:description/>
  <cp:lastModifiedBy/>
  <cp:revision/>
  <dcterms:created xsi:type="dcterms:W3CDTF">2022-08-02T20:23:26Z</dcterms:created>
  <dcterms:modified xsi:type="dcterms:W3CDTF">2026-08-02T22:16:15Z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0x010100100E427CDC8F4B40A700908DD9F296BE</vt:lpwstr>
  </property>
  <property fmtid="{D5CDD505-2E9C-101B-9397-08002B2CF9AE}" pid="3" name="_dlc_DocIdItemGuid">
    <vt:lpwstr>a76d1339-a306-4789-9613-ac796b0fa8cf</vt:lpwstr>
  </property>
  <property fmtid="{D5CDD505-2E9C-101B-9397-08002B2CF9AE}" pid="4" name="MediaServiceImageTags">
    <vt:lpwstr/>
  </property>
</Properties>
</file>