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flecherreaves/Library/Mobile Documents/com~apple~CloudDocs/McDonald's/2026/4 - Yearly/"/>
    </mc:Choice>
  </mc:AlternateContent>
  <xr:revisionPtr revIDLastSave="0" documentId="13_ncr:1_{EF1E388B-66B8-E248-B435-36B7F34C21F6}" xr6:coauthVersionLast="47" xr6:coauthVersionMax="47" xr10:uidLastSave="{00000000-0000-0000-0000-000000000000}"/>
  <bookViews>
    <workbookView xWindow="0" yWindow="660" windowWidth="30240" windowHeight="17420" xr2:uid="{971F2791-6323-B541-A898-7764F84E329A}"/>
  </bookViews>
  <sheets>
    <sheet name="Table 1" sheetId="1" r:id="rId1"/>
    <sheet name="Sheet1" sheetId="2" r:id="rId2"/>
  </sheets>
  <definedNames>
    <definedName name="_xlnm.Print_Area" localSheetId="0">'Table 1'!$E$1:$BY$37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6" i="1" l="1"/>
  <c r="BS36" i="1"/>
  <c r="AH36" i="1"/>
  <c r="AF36" i="1"/>
  <c r="S36" i="1"/>
  <c r="W34" i="1"/>
  <c r="W36" i="1"/>
  <c r="Q36" i="1"/>
  <c r="H36" i="1"/>
  <c r="BY34" i="1"/>
  <c r="BV34" i="1"/>
  <c r="BS34" i="1"/>
  <c r="BG34" i="1"/>
  <c r="AV34" i="1"/>
  <c r="AT34" i="1"/>
  <c r="S34" i="1"/>
  <c r="BY32" i="1"/>
  <c r="BV32" i="1"/>
  <c r="S32" i="1"/>
  <c r="L36" i="1" l="1"/>
  <c r="J36" i="1"/>
  <c r="I34" i="1"/>
  <c r="K34" i="1"/>
  <c r="M34" i="1"/>
  <c r="P34" i="1"/>
  <c r="R34" i="1"/>
  <c r="T34" i="1"/>
  <c r="V34" i="1"/>
  <c r="X34" i="1"/>
  <c r="AA34" i="1"/>
  <c r="AC34" i="1"/>
  <c r="AE34" i="1"/>
  <c r="AG34" i="1"/>
  <c r="AI34" i="1"/>
  <c r="AL34" i="1"/>
  <c r="AN34" i="1"/>
  <c r="AP34" i="1"/>
  <c r="AR34" i="1"/>
  <c r="AW34" i="1"/>
  <c r="AZ34" i="1"/>
  <c r="BB34" i="1"/>
  <c r="BD34" i="1"/>
  <c r="BF34" i="1"/>
  <c r="BJ34" i="1"/>
  <c r="BL34" i="1"/>
  <c r="BN34" i="1"/>
  <c r="BQ34" i="1"/>
  <c r="BT34" i="1"/>
  <c r="BU34" i="1"/>
  <c r="BW34" i="1"/>
  <c r="BX34" i="1"/>
  <c r="M36" i="1"/>
  <c r="P36" i="1"/>
  <c r="R36" i="1"/>
  <c r="T36" i="1"/>
  <c r="U36" i="1"/>
  <c r="V36" i="1"/>
  <c r="X36" i="1"/>
  <c r="Y36" i="1"/>
  <c r="AA36" i="1"/>
  <c r="AC36" i="1"/>
  <c r="AD36" i="1"/>
  <c r="AE36" i="1"/>
  <c r="AG36" i="1"/>
  <c r="AI36" i="1"/>
  <c r="AJ36" i="1"/>
  <c r="AL36" i="1"/>
  <c r="AN36" i="1"/>
  <c r="AP36" i="1"/>
  <c r="AR36" i="1"/>
  <c r="AT36" i="1"/>
  <c r="AW36" i="1"/>
  <c r="AZ36" i="1"/>
  <c r="BB36" i="1"/>
  <c r="BD36" i="1"/>
  <c r="BF36" i="1"/>
  <c r="BG36" i="1"/>
  <c r="BH36" i="1"/>
  <c r="BJ36" i="1"/>
  <c r="BL36" i="1"/>
  <c r="BN36" i="1"/>
  <c r="BQ36" i="1"/>
  <c r="BT36" i="1"/>
  <c r="BU36" i="1"/>
  <c r="BW36" i="1"/>
  <c r="BX36" i="1"/>
  <c r="BY36" i="1"/>
  <c r="I36" i="1"/>
  <c r="K36" i="1"/>
  <c r="BC8" i="1" l="1"/>
  <c r="BC9" i="1"/>
  <c r="BE9" i="1"/>
  <c r="BC10" i="1"/>
  <c r="BE10" i="1"/>
  <c r="BC11" i="1"/>
  <c r="BE11" i="1" s="1"/>
  <c r="BC31" i="1"/>
  <c r="BE31" i="1" s="1"/>
  <c r="BC29" i="1"/>
  <c r="BE29" i="1" s="1"/>
  <c r="BC28" i="1"/>
  <c r="BE28" i="1" s="1"/>
  <c r="BC27" i="1"/>
  <c r="BE27" i="1" s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9" i="1"/>
  <c r="AO8" i="1"/>
  <c r="H5" i="1"/>
  <c r="J5" i="1"/>
  <c r="L5" i="1"/>
  <c r="O5" i="1"/>
  <c r="Q5" i="1"/>
  <c r="U5" i="1"/>
  <c r="AB5" i="1"/>
  <c r="AM5" i="1"/>
  <c r="AO5" i="1"/>
  <c r="AQ5" i="1"/>
  <c r="AS5" i="1"/>
  <c r="BA5" i="1"/>
  <c r="BC5" i="1"/>
  <c r="BH5" i="1"/>
  <c r="BK5" i="1"/>
  <c r="BM5" i="1"/>
  <c r="BO5" i="1"/>
  <c r="BR5" i="1"/>
  <c r="H6" i="1"/>
  <c r="J6" i="1"/>
  <c r="L6" i="1"/>
  <c r="O6" i="1"/>
  <c r="Q6" i="1"/>
  <c r="U6" i="1"/>
  <c r="AB6" i="1"/>
  <c r="AM6" i="1"/>
  <c r="AO6" i="1"/>
  <c r="AQ6" i="1"/>
  <c r="AS6" i="1"/>
  <c r="BA6" i="1"/>
  <c r="BC6" i="1"/>
  <c r="BE6" i="1" s="1"/>
  <c r="BH6" i="1"/>
  <c r="BK6" i="1"/>
  <c r="BM6" i="1"/>
  <c r="BO6" i="1"/>
  <c r="BR6" i="1"/>
  <c r="H7" i="1"/>
  <c r="J7" i="1"/>
  <c r="L7" i="1"/>
  <c r="O7" i="1"/>
  <c r="Q7" i="1"/>
  <c r="U7" i="1"/>
  <c r="AB7" i="1"/>
  <c r="AM7" i="1"/>
  <c r="AO7" i="1"/>
  <c r="AQ7" i="1" s="1"/>
  <c r="AS7" i="1"/>
  <c r="BA7" i="1"/>
  <c r="BC7" i="1"/>
  <c r="BE7" i="1" s="1"/>
  <c r="BH7" i="1"/>
  <c r="BM7" i="1"/>
  <c r="BO7" i="1"/>
  <c r="BR7" i="1"/>
  <c r="O8" i="1"/>
  <c r="AB8" i="1"/>
  <c r="AM8" i="1"/>
  <c r="BA8" i="1"/>
  <c r="BR8" i="1"/>
  <c r="O9" i="1"/>
  <c r="AB9" i="1"/>
  <c r="AM9" i="1"/>
  <c r="BA9" i="1"/>
  <c r="BR9" i="1"/>
  <c r="H10" i="1"/>
  <c r="J10" i="1"/>
  <c r="L10" i="1"/>
  <c r="O10" i="1"/>
  <c r="Q10" i="1"/>
  <c r="U10" i="1"/>
  <c r="Y10" i="1"/>
  <c r="AB10" i="1"/>
  <c r="AM10" i="1"/>
  <c r="BA10" i="1"/>
  <c r="BH10" i="1"/>
  <c r="BK10" i="1"/>
  <c r="BM10" i="1"/>
  <c r="BO10" i="1"/>
  <c r="BR10" i="1"/>
  <c r="O11" i="1"/>
  <c r="AB11" i="1"/>
  <c r="AM11" i="1"/>
  <c r="BA11" i="1"/>
  <c r="BR11" i="1"/>
  <c r="H12" i="1"/>
  <c r="J12" i="1"/>
  <c r="L12" i="1"/>
  <c r="O12" i="1"/>
  <c r="Q12" i="1"/>
  <c r="U12" i="1"/>
  <c r="Y12" i="1"/>
  <c r="AB12" i="1"/>
  <c r="AM12" i="1"/>
  <c r="BA12" i="1"/>
  <c r="BC12" i="1"/>
  <c r="BE12" i="1" s="1"/>
  <c r="BH12" i="1"/>
  <c r="BK12" i="1"/>
  <c r="BM12" i="1"/>
  <c r="BO12" i="1"/>
  <c r="BR12" i="1"/>
  <c r="H13" i="1"/>
  <c r="J13" i="1"/>
  <c r="L13" i="1"/>
  <c r="O13" i="1"/>
  <c r="Q13" i="1"/>
  <c r="U13" i="1"/>
  <c r="AB13" i="1"/>
  <c r="AM13" i="1"/>
  <c r="BA13" i="1"/>
  <c r="BC13" i="1"/>
  <c r="BE13" i="1" s="1"/>
  <c r="BH13" i="1"/>
  <c r="BK13" i="1"/>
  <c r="BM13" i="1"/>
  <c r="BO13" i="1"/>
  <c r="BR13" i="1"/>
  <c r="H14" i="1"/>
  <c r="J14" i="1"/>
  <c r="L14" i="1"/>
  <c r="O14" i="1"/>
  <c r="Q14" i="1"/>
  <c r="U14" i="1"/>
  <c r="AB14" i="1"/>
  <c r="AM14" i="1"/>
  <c r="BA14" i="1"/>
  <c r="BC14" i="1"/>
  <c r="BE14" i="1" s="1"/>
  <c r="BH14" i="1"/>
  <c r="BK14" i="1"/>
  <c r="BM14" i="1"/>
  <c r="BO14" i="1"/>
  <c r="BR14" i="1"/>
  <c r="H15" i="1"/>
  <c r="J15" i="1"/>
  <c r="L15" i="1"/>
  <c r="O15" i="1"/>
  <c r="Q15" i="1"/>
  <c r="U15" i="1"/>
  <c r="AB15" i="1"/>
  <c r="AM15" i="1"/>
  <c r="BA15" i="1"/>
  <c r="BC15" i="1"/>
  <c r="BE15" i="1" s="1"/>
  <c r="BH15" i="1"/>
  <c r="BK15" i="1"/>
  <c r="BM15" i="1"/>
  <c r="BO15" i="1"/>
  <c r="BR15" i="1"/>
  <c r="H16" i="1"/>
  <c r="J16" i="1"/>
  <c r="L16" i="1"/>
  <c r="O16" i="1"/>
  <c r="Q16" i="1"/>
  <c r="U16" i="1"/>
  <c r="AB16" i="1"/>
  <c r="AM16" i="1"/>
  <c r="BA16" i="1"/>
  <c r="BC16" i="1"/>
  <c r="BE16" i="1" s="1"/>
  <c r="BH16" i="1"/>
  <c r="BM16" i="1"/>
  <c r="BO16" i="1"/>
  <c r="BR16" i="1"/>
  <c r="H17" i="1"/>
  <c r="J17" i="1"/>
  <c r="L17" i="1"/>
  <c r="O17" i="1"/>
  <c r="Q17" i="1"/>
  <c r="U17" i="1"/>
  <c r="Y17" i="1"/>
  <c r="AB17" i="1"/>
  <c r="AM17" i="1"/>
  <c r="BA17" i="1"/>
  <c r="BC17" i="1"/>
  <c r="BE17" i="1" s="1"/>
  <c r="BH17" i="1"/>
  <c r="BK17" i="1"/>
  <c r="BM17" i="1"/>
  <c r="BO17" i="1"/>
  <c r="BR17" i="1"/>
  <c r="H18" i="1"/>
  <c r="J18" i="1"/>
  <c r="L18" i="1"/>
  <c r="O18" i="1"/>
  <c r="Q18" i="1"/>
  <c r="U18" i="1"/>
  <c r="Y18" i="1"/>
  <c r="AB18" i="1"/>
  <c r="AM18" i="1"/>
  <c r="BA18" i="1"/>
  <c r="BC18" i="1"/>
  <c r="BE18" i="1"/>
  <c r="BH18" i="1"/>
  <c r="BK18" i="1"/>
  <c r="BM18" i="1"/>
  <c r="BO18" i="1"/>
  <c r="BR18" i="1"/>
  <c r="H19" i="1"/>
  <c r="J19" i="1"/>
  <c r="L19" i="1"/>
  <c r="O19" i="1"/>
  <c r="Q19" i="1"/>
  <c r="U19" i="1"/>
  <c r="Y19" i="1"/>
  <c r="AB19" i="1"/>
  <c r="AM19" i="1"/>
  <c r="BA19" i="1"/>
  <c r="BC19" i="1"/>
  <c r="BE19" i="1"/>
  <c r="BH19" i="1"/>
  <c r="BK19" i="1"/>
  <c r="BM19" i="1"/>
  <c r="BO19" i="1"/>
  <c r="BR19" i="1"/>
  <c r="H20" i="1"/>
  <c r="J20" i="1"/>
  <c r="L20" i="1"/>
  <c r="O20" i="1"/>
  <c r="Q20" i="1"/>
  <c r="U20" i="1"/>
  <c r="AB20" i="1"/>
  <c r="AM20" i="1"/>
  <c r="BA20" i="1"/>
  <c r="BC20" i="1"/>
  <c r="BE20" i="1" s="1"/>
  <c r="BH20" i="1"/>
  <c r="BM20" i="1"/>
  <c r="BO20" i="1"/>
  <c r="BR20" i="1"/>
  <c r="H21" i="1"/>
  <c r="J21" i="1"/>
  <c r="L21" i="1"/>
  <c r="O21" i="1"/>
  <c r="Q21" i="1"/>
  <c r="AB21" i="1"/>
  <c r="AM21" i="1"/>
  <c r="BA21" i="1"/>
  <c r="BC21" i="1"/>
  <c r="BE21" i="1" s="1"/>
  <c r="BH21" i="1"/>
  <c r="BK21" i="1"/>
  <c r="BM21" i="1"/>
  <c r="BO21" i="1"/>
  <c r="BR21" i="1"/>
  <c r="H22" i="1"/>
  <c r="J22" i="1"/>
  <c r="L22" i="1"/>
  <c r="O22" i="1"/>
  <c r="Q22" i="1"/>
  <c r="U22" i="1"/>
  <c r="AB22" i="1"/>
  <c r="AM22" i="1"/>
  <c r="BA22" i="1"/>
  <c r="BC22" i="1"/>
  <c r="BE22" i="1" s="1"/>
  <c r="BH22" i="1"/>
  <c r="BK22" i="1"/>
  <c r="BM22" i="1"/>
  <c r="BO22" i="1"/>
  <c r="BR22" i="1"/>
  <c r="H23" i="1"/>
  <c r="J23" i="1"/>
  <c r="L23" i="1"/>
  <c r="O23" i="1"/>
  <c r="Q23" i="1"/>
  <c r="U23" i="1"/>
  <c r="AB23" i="1"/>
  <c r="AM23" i="1"/>
  <c r="BA23" i="1"/>
  <c r="BC23" i="1"/>
  <c r="BE23" i="1" s="1"/>
  <c r="BH23" i="1"/>
  <c r="BK23" i="1"/>
  <c r="BM23" i="1"/>
  <c r="BO23" i="1"/>
  <c r="BR23" i="1"/>
  <c r="H24" i="1"/>
  <c r="J24" i="1"/>
  <c r="L24" i="1"/>
  <c r="O24" i="1"/>
  <c r="Q24" i="1"/>
  <c r="U24" i="1"/>
  <c r="Y24" i="1"/>
  <c r="AB24" i="1"/>
  <c r="AM24" i="1"/>
  <c r="BA24" i="1"/>
  <c r="BC24" i="1"/>
  <c r="BE24" i="1" s="1"/>
  <c r="BH24" i="1"/>
  <c r="BK24" i="1"/>
  <c r="BM24" i="1"/>
  <c r="BO24" i="1"/>
  <c r="BR24" i="1"/>
  <c r="H25" i="1"/>
  <c r="J25" i="1"/>
  <c r="L25" i="1"/>
  <c r="O25" i="1"/>
  <c r="Q25" i="1"/>
  <c r="U25" i="1"/>
  <c r="AB25" i="1"/>
  <c r="AM25" i="1"/>
  <c r="BA25" i="1"/>
  <c r="BC25" i="1"/>
  <c r="BE25" i="1" s="1"/>
  <c r="BH25" i="1"/>
  <c r="BK25" i="1"/>
  <c r="BM25" i="1"/>
  <c r="BO25" i="1"/>
  <c r="BR25" i="1"/>
  <c r="H26" i="1"/>
  <c r="J26" i="1"/>
  <c r="L26" i="1"/>
  <c r="O26" i="1"/>
  <c r="Q26" i="1"/>
  <c r="U26" i="1"/>
  <c r="AB26" i="1"/>
  <c r="AM26" i="1"/>
  <c r="BA26" i="1"/>
  <c r="BC26" i="1"/>
  <c r="BE26" i="1" s="1"/>
  <c r="BH26" i="1"/>
  <c r="BK26" i="1"/>
  <c r="BM26" i="1"/>
  <c r="BO26" i="1"/>
  <c r="BR26" i="1"/>
  <c r="O27" i="1"/>
  <c r="AB27" i="1"/>
  <c r="AM27" i="1"/>
  <c r="BA27" i="1"/>
  <c r="BR27" i="1"/>
  <c r="O28" i="1"/>
  <c r="AB28" i="1"/>
  <c r="AM28" i="1"/>
  <c r="BA28" i="1"/>
  <c r="BR28" i="1"/>
  <c r="O29" i="1"/>
  <c r="AB29" i="1"/>
  <c r="AM29" i="1"/>
  <c r="BA29" i="1"/>
  <c r="BR29" i="1"/>
  <c r="H30" i="1"/>
  <c r="J30" i="1"/>
  <c r="L30" i="1"/>
  <c r="Q30" i="1"/>
  <c r="U30" i="1"/>
  <c r="BC30" i="1"/>
  <c r="BE30" i="1" s="1"/>
  <c r="BH30" i="1"/>
  <c r="BK30" i="1"/>
  <c r="BM30" i="1"/>
  <c r="BO30" i="1"/>
  <c r="O31" i="1"/>
  <c r="AB31" i="1"/>
  <c r="AM31" i="1"/>
  <c r="BA31" i="1"/>
  <c r="BR31" i="1"/>
  <c r="G32" i="1"/>
  <c r="I32" i="1"/>
  <c r="K32" i="1"/>
  <c r="P32" i="1"/>
  <c r="AO36" i="1" l="1"/>
  <c r="Q32" i="1"/>
  <c r="Q34" i="1"/>
  <c r="BE5" i="1"/>
  <c r="BE34" i="1" s="1"/>
  <c r="BC34" i="1"/>
  <c r="L32" i="1"/>
  <c r="L34" i="1"/>
  <c r="AQ36" i="1"/>
  <c r="Y34" i="1"/>
  <c r="Y32" i="1"/>
  <c r="BH34" i="1"/>
  <c r="AS36" i="1"/>
  <c r="BE8" i="1"/>
  <c r="BE36" i="1" s="1"/>
  <c r="BC36" i="1"/>
</calcChain>
</file>

<file path=xl/sharedStrings.xml><?xml version="1.0" encoding="utf-8"?>
<sst xmlns="http://schemas.openxmlformats.org/spreadsheetml/2006/main" count="335" uniqueCount="100">
  <si>
    <t>Last Year Results</t>
  </si>
  <si>
    <t>3708</t>
  </si>
  <si>
    <t>5183</t>
  </si>
  <si>
    <t>5985</t>
  </si>
  <si>
    <t>6972</t>
  </si>
  <si>
    <t>10422</t>
  </si>
  <si>
    <t>10915</t>
  </si>
  <si>
    <t>11657</t>
  </si>
  <si>
    <t>13113</t>
  </si>
  <si>
    <t>18213</t>
  </si>
  <si>
    <t>20475</t>
  </si>
  <si>
    <t>24471</t>
  </si>
  <si>
    <t>29760</t>
  </si>
  <si>
    <t>31357</t>
  </si>
  <si>
    <t>32525</t>
  </si>
  <si>
    <t>33109</t>
  </si>
  <si>
    <t>33222</t>
  </si>
  <si>
    <t>33704</t>
  </si>
  <si>
    <t>34222</t>
  </si>
  <si>
    <t>35064</t>
  </si>
  <si>
    <t>43380</t>
  </si>
  <si>
    <t>Labor</t>
  </si>
  <si>
    <t>Food Over Base (w/o Discounts)</t>
  </si>
  <si>
    <t>T3M Results</t>
  </si>
  <si>
    <t>Organization</t>
  </si>
  <si>
    <t>Org. Target --&gt;</t>
  </si>
  <si>
    <t>&lt; 4.0%</t>
  </si>
  <si>
    <t>&gt;4.5</t>
  </si>
  <si>
    <t>43 (Avg/Rest)</t>
  </si>
  <si>
    <t>11 (Avg/Rest)</t>
  </si>
  <si>
    <t>2 (Avg/Rest)</t>
  </si>
  <si>
    <t>3 (Avg/Rest)</t>
  </si>
  <si>
    <t>&gt; 90%</t>
  </si>
  <si>
    <t>57 (Avg/Rest)</t>
  </si>
  <si>
    <t>TPPH</t>
  </si>
  <si>
    <t>DONE</t>
  </si>
  <si>
    <t>PDW STAFFING TOOL</t>
  </si>
  <si>
    <t>46 (Avg/Rest)</t>
  </si>
  <si>
    <t>+ 10%</t>
  </si>
  <si>
    <t>&lt; 3 Minutes</t>
  </si>
  <si>
    <t xml:space="preserve">&lt; </t>
  </si>
  <si>
    <t>2026 Customer Satisfaction Targets</t>
  </si>
  <si>
    <t>2026 Digital Execution Targets</t>
  </si>
  <si>
    <t>2026 People Targets</t>
  </si>
  <si>
    <t>Total Headcount Target 
(All Hourly)</t>
  </si>
  <si>
    <t>Restaurant</t>
  </si>
  <si>
    <t>7am – 9am</t>
  </si>
  <si>
    <t>11am – 2pm</t>
  </si>
  <si>
    <t>5pm – 7pm</t>
  </si>
  <si>
    <t>Park %</t>
  </si>
  <si>
    <t>McDelivery Star Rating</t>
  </si>
  <si>
    <t>Crew Staffing Target</t>
  </si>
  <si>
    <t>Shift Leader Target</t>
  </si>
  <si>
    <t>2026 Labor &amp; Food Over Base Targets</t>
  </si>
  <si>
    <t>2026 OEPE w/o Park by Restaurant (Peak Periods)</t>
  </si>
  <si>
    <t>1189
73/Rest</t>
  </si>
  <si>
    <t>(-5% LY)</t>
  </si>
  <si>
    <t>(+10% GC/R/D)</t>
  </si>
  <si>
    <t>38%
(-10%)</t>
  </si>
  <si>
    <r>
      <rPr>
        <b/>
        <sz val="11"/>
        <rFont val="Calibri"/>
        <family val="2"/>
        <scheme val="minor"/>
      </rPr>
      <t xml:space="preserve">OEPE
</t>
    </r>
    <r>
      <rPr>
        <b/>
        <i/>
        <sz val="11"/>
        <rFont val="Calibri"/>
        <family val="2"/>
        <scheme val="minor"/>
      </rPr>
      <t>PACE</t>
    </r>
  </si>
  <si>
    <r>
      <rPr>
        <b/>
        <sz val="11"/>
        <rFont val="Calibri"/>
        <family val="2"/>
        <scheme val="minor"/>
      </rPr>
      <t xml:space="preserve">KVS
</t>
    </r>
    <r>
      <rPr>
        <b/>
        <i/>
        <sz val="11"/>
        <rFont val="Calibri"/>
        <family val="2"/>
        <scheme val="minor"/>
      </rPr>
      <t>PACE</t>
    </r>
  </si>
  <si>
    <r>
      <rPr>
        <b/>
        <sz val="11"/>
        <rFont val="Calibri"/>
        <family val="2"/>
        <scheme val="minor"/>
      </rPr>
      <t>Healthy Use 2</t>
    </r>
    <r>
      <rPr>
        <b/>
        <vertAlign val="superscript"/>
        <sz val="11"/>
        <rFont val="Calibri"/>
        <family val="2"/>
        <scheme val="minor"/>
      </rPr>
      <t xml:space="preserve">nd
</t>
    </r>
    <r>
      <rPr>
        <b/>
        <sz val="11"/>
        <rFont val="Calibri"/>
        <family val="2"/>
        <scheme val="minor"/>
      </rPr>
      <t>Side</t>
    </r>
  </si>
  <si>
    <r>
      <rPr>
        <b/>
        <sz val="11"/>
        <rFont val="Calibri"/>
        <family val="2"/>
        <scheme val="minor"/>
      </rPr>
      <t xml:space="preserve">FC R2P </t>
    </r>
    <r>
      <rPr>
        <b/>
        <i/>
        <sz val="11"/>
        <rFont val="Calibri"/>
        <family val="2"/>
        <scheme val="minor"/>
      </rPr>
      <t>PACE</t>
    </r>
  </si>
  <si>
    <r>
      <rPr>
        <b/>
        <sz val="11"/>
        <rFont val="Calibri"/>
        <family val="2"/>
        <scheme val="minor"/>
      </rPr>
      <t xml:space="preserve">VOICE OSAT </t>
    </r>
    <r>
      <rPr>
        <b/>
        <i/>
        <sz val="11"/>
        <rFont val="Calibri"/>
        <family val="2"/>
        <scheme val="minor"/>
      </rPr>
      <t>PACE</t>
    </r>
  </si>
  <si>
    <r>
      <rPr>
        <b/>
        <sz val="11"/>
        <rFont val="Calibri"/>
        <family val="2"/>
        <scheme val="minor"/>
      </rPr>
      <t>VOICE
Execute As
Designed</t>
    </r>
  </si>
  <si>
    <r>
      <rPr>
        <b/>
        <sz val="11"/>
        <rFont val="Calibri"/>
        <family val="2"/>
        <scheme val="minor"/>
      </rPr>
      <t>1-800
Contacts</t>
    </r>
  </si>
  <si>
    <r>
      <rPr>
        <b/>
        <sz val="11"/>
        <rFont val="Calibri"/>
        <family val="2"/>
        <scheme val="minor"/>
      </rPr>
      <t>Digital App
(GC/R/D)</t>
    </r>
  </si>
  <si>
    <r>
      <rPr>
        <b/>
        <sz val="11"/>
        <rFont val="Calibri"/>
        <family val="2"/>
        <scheme val="minor"/>
      </rPr>
      <t>McDelivery
(GC/R/D)</t>
    </r>
  </si>
  <si>
    <r>
      <rPr>
        <b/>
        <sz val="11"/>
        <rFont val="Calibri"/>
        <family val="2"/>
        <scheme val="minor"/>
      </rPr>
      <t>McDelivery Restaurant Wait Time</t>
    </r>
  </si>
  <si>
    <r>
      <rPr>
        <b/>
        <sz val="11"/>
        <rFont val="Calibri"/>
        <family val="2"/>
        <scheme val="minor"/>
      </rPr>
      <t>TTM
Shift Leader T/O</t>
    </r>
  </si>
  <si>
    <r>
      <rPr>
        <b/>
        <sz val="11"/>
        <rFont val="Calibri"/>
        <family val="2"/>
        <scheme val="minor"/>
      </rPr>
      <t>0-90
Day Crew T/O</t>
    </r>
  </si>
  <si>
    <r>
      <rPr>
        <b/>
        <sz val="11"/>
        <rFont val="Calibri"/>
        <family val="2"/>
        <scheme val="minor"/>
      </rPr>
      <t>YTD
Crew T/O</t>
    </r>
  </si>
  <si>
    <t>2026 OEPE w/o Park by Restaurant
Combination of Peaks (7a-9a / 11a-2p / 5p-7p)</t>
  </si>
  <si>
    <t>Overall Satisfaction B2B</t>
  </si>
  <si>
    <t>Digital App Percent of Sales</t>
  </si>
  <si>
    <t>(+5% Last Year)</t>
  </si>
  <si>
    <t>(-2.5% LY)</t>
  </si>
  <si>
    <t>GM/DM/ Swing Mgr Target</t>
  </si>
  <si>
    <t>Index</t>
  </si>
  <si>
    <t>Owner</t>
  </si>
  <si>
    <t>Patch</t>
  </si>
  <si>
    <t>MCDOK (OK)</t>
  </si>
  <si>
    <t>Ryan Thorley</t>
  </si>
  <si>
    <t>Robert</t>
  </si>
  <si>
    <t>Gary Mornhinweg</t>
  </si>
  <si>
    <t>Krystiana</t>
  </si>
  <si>
    <t>Rick/Kathy Thorley</t>
  </si>
  <si>
    <t>Ashley</t>
  </si>
  <si>
    <t>Emerald Arches (FL)</t>
  </si>
  <si>
    <t>Jacob Thorley</t>
  </si>
  <si>
    <t>Brad</t>
  </si>
  <si>
    <t>Steven</t>
  </si>
  <si>
    <t>Amanda</t>
  </si>
  <si>
    <t>&lt;</t>
  </si>
  <si>
    <t>Remove</t>
  </si>
  <si>
    <t>(-10 vs LY)</t>
  </si>
  <si>
    <t>(-8 vs LY)</t>
  </si>
  <si>
    <t>(-2 vs LY)</t>
  </si>
  <si>
    <t>73/Rest</t>
  </si>
  <si>
    <t>(-10%)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</si>
</sst>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4" x14ac:knownFonts="1"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rgb="FF000000"/>
      <name val="Times New Roman"/>
      <family val="1"/>
    </font>
    <font>
      <b/>
      <sz val="13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Times New Roman"/>
      <family val="1"/>
    </font>
    <font>
      <sz val="12"/>
      <color theme="1"/>
      <name val="Calibri (Body)"/>
    </font>
    <font>
      <sz val="12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6.5"/>
      <name val="Arial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C000"/>
        <bgColor indexed="64"/>
      </patternFill>
    </fill>
    <fill>
      <patternFill patternType="solid">
        <fgColor rgb="FF8EAADB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8D08D"/>
      </patternFill>
    </fill>
    <fill>
      <patternFill patternType="solid">
        <fgColor rgb="FF92D050"/>
        <bgColor indexed="64"/>
      </patternFill>
    </fill>
    <fill>
      <patternFill patternType="solid">
        <fgColor rgb="FFEC7C3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0" fillId="0" borderId="0" xfId="0" applyAlignment="1">
      <alignment horizontal="left" vertical="top"/>
    </xf>
    <xf numFmtId="1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 vertical="top"/>
    </xf>
    <xf numFmtId="0" fontId="17" fillId="0" borderId="0" xfId="0" applyFont="1" applyAlignment="1">
      <alignment horizontal="left" vertical="top"/>
    </xf>
    <xf numFmtId="164" fontId="4" fillId="7" borderId="0" xfId="0" applyNumberFormat="1" applyFont="1" applyFill="1" applyAlignment="1">
      <alignment horizontal="left" vertical="top" wrapText="1"/>
    </xf>
    <xf numFmtId="0" fontId="14" fillId="7" borderId="0" xfId="0" applyFont="1" applyFill="1" applyAlignment="1">
      <alignment horizontal="left" vertical="top" wrapText="1"/>
    </xf>
    <xf numFmtId="164" fontId="14" fillId="7" borderId="0" xfId="0" applyNumberFormat="1" applyFont="1" applyFill="1" applyAlignment="1">
      <alignment horizontal="left" vertical="top" wrapText="1"/>
    </xf>
    <xf numFmtId="1" fontId="8" fillId="9" borderId="0" xfId="0" applyNumberFormat="1" applyFont="1" applyFill="1" applyAlignment="1">
      <alignment horizontal="left" vertical="top" wrapText="1"/>
    </xf>
    <xf numFmtId="1" fontId="16" fillId="9" borderId="0" xfId="0" applyNumberFormat="1" applyFont="1" applyFill="1" applyAlignment="1">
      <alignment horizontal="center" vertical="top" wrapText="1"/>
    </xf>
    <xf numFmtId="0" fontId="16" fillId="9" borderId="0" xfId="0" applyFont="1" applyFill="1" applyAlignment="1">
      <alignment horizontal="left" vertical="top" wrapText="1"/>
    </xf>
    <xf numFmtId="0" fontId="4" fillId="10" borderId="0" xfId="0" applyFont="1" applyFill="1" applyAlignment="1">
      <alignment horizontal="left" vertical="top" wrapText="1"/>
    </xf>
    <xf numFmtId="0" fontId="11" fillId="10" borderId="0" xfId="0" applyFont="1" applyFill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24" fillId="3" borderId="7" xfId="0" applyFont="1" applyFill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horizontal="left" wrapText="1"/>
    </xf>
    <xf numFmtId="0" fontId="18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wrapText="1"/>
    </xf>
    <xf numFmtId="0" fontId="29" fillId="0" borderId="0" xfId="0" applyFont="1" applyAlignment="1">
      <alignment horizontal="left" vertical="top"/>
    </xf>
    <xf numFmtId="0" fontId="28" fillId="0" borderId="0" xfId="0" applyFont="1" applyAlignment="1">
      <alignment horizontal="left" wrapText="1"/>
    </xf>
    <xf numFmtId="0" fontId="28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3" fillId="8" borderId="0" xfId="0" applyFont="1" applyFill="1" applyAlignment="1">
      <alignment horizontal="center" vertical="top" wrapText="1"/>
    </xf>
    <xf numFmtId="0" fontId="12" fillId="12" borderId="21" xfId="0" applyFont="1" applyFill="1" applyBorder="1" applyAlignment="1">
      <alignment horizontal="center" vertical="top" wrapText="1"/>
    </xf>
    <xf numFmtId="1" fontId="12" fillId="12" borderId="0" xfId="0" applyNumberFormat="1" applyFont="1" applyFill="1" applyAlignment="1">
      <alignment horizontal="center" vertical="top" wrapText="1"/>
    </xf>
    <xf numFmtId="1" fontId="12" fillId="12" borderId="24" xfId="0" applyNumberFormat="1" applyFont="1" applyFill="1" applyBorder="1" applyAlignment="1">
      <alignment horizontal="center" vertical="top" wrapText="1"/>
    </xf>
    <xf numFmtId="1" fontId="12" fillId="12" borderId="25" xfId="0" applyNumberFormat="1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4" fillId="3" borderId="27" xfId="0" applyFont="1" applyFill="1" applyBorder="1" applyAlignment="1">
      <alignment horizontal="left" vertical="top" wrapText="1"/>
    </xf>
    <xf numFmtId="0" fontId="13" fillId="2" borderId="27" xfId="0" applyFont="1" applyFill="1" applyBorder="1" applyAlignment="1">
      <alignment horizontal="center" vertical="top" wrapText="1"/>
    </xf>
    <xf numFmtId="0" fontId="14" fillId="3" borderId="27" xfId="0" applyFont="1" applyFill="1" applyBorder="1" applyAlignment="1">
      <alignment horizontal="left" vertical="top" wrapText="1"/>
    </xf>
    <xf numFmtId="0" fontId="13" fillId="2" borderId="28" xfId="0" applyFont="1" applyFill="1" applyBorder="1" applyAlignment="1">
      <alignment horizontal="center" vertical="top" wrapText="1"/>
    </xf>
    <xf numFmtId="0" fontId="30" fillId="14" borderId="2" xfId="0" applyFont="1" applyFill="1" applyBorder="1" applyAlignment="1">
      <alignment horizontal="left" wrapText="1" indent="2"/>
    </xf>
    <xf numFmtId="0" fontId="30" fillId="14" borderId="3" xfId="0" applyFont="1" applyFill="1" applyBorder="1" applyAlignment="1">
      <alignment horizontal="left" wrapText="1" indent="2"/>
    </xf>
    <xf numFmtId="0" fontId="30" fillId="15" borderId="2" xfId="0" applyFont="1" applyFill="1" applyBorder="1" applyAlignment="1">
      <alignment horizontal="left" vertical="center" wrapText="1"/>
    </xf>
    <xf numFmtId="0" fontId="30" fillId="15" borderId="3" xfId="0" applyFont="1" applyFill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10" fontId="12" fillId="12" borderId="0" xfId="0" applyNumberFormat="1" applyFont="1" applyFill="1" applyAlignment="1">
      <alignment horizontal="center" vertical="top" wrapText="1"/>
    </xf>
    <xf numFmtId="10" fontId="12" fillId="12" borderId="24" xfId="0" applyNumberFormat="1" applyFont="1" applyFill="1" applyBorder="1" applyAlignment="1">
      <alignment horizontal="center" vertical="top" wrapText="1"/>
    </xf>
    <xf numFmtId="0" fontId="12" fillId="12" borderId="0" xfId="0" applyFont="1" applyFill="1" applyAlignment="1">
      <alignment horizontal="center" vertical="top" wrapText="1"/>
    </xf>
    <xf numFmtId="0" fontId="5" fillId="4" borderId="26" xfId="0" applyFont="1" applyFill="1" applyBorder="1" applyAlignment="1">
      <alignment horizontal="center" vertical="top" wrapText="1"/>
    </xf>
    <xf numFmtId="2" fontId="4" fillId="5" borderId="27" xfId="0" applyNumberFormat="1" applyFont="1" applyFill="1" applyBorder="1" applyAlignment="1">
      <alignment horizontal="left" vertical="top" wrapText="1"/>
    </xf>
    <xf numFmtId="0" fontId="2" fillId="4" borderId="27" xfId="0" applyFont="1" applyFill="1" applyBorder="1" applyAlignment="1">
      <alignment horizontal="left" vertical="top" wrapText="1" indent="3"/>
    </xf>
    <xf numFmtId="0" fontId="14" fillId="5" borderId="27" xfId="0" applyFont="1" applyFill="1" applyBorder="1" applyAlignment="1">
      <alignment horizontal="left" vertical="top" wrapText="1"/>
    </xf>
    <xf numFmtId="10" fontId="15" fillId="4" borderId="27" xfId="0" applyNumberFormat="1" applyFont="1" applyFill="1" applyBorder="1" applyAlignment="1">
      <alignment horizontal="center" vertical="top" wrapText="1"/>
    </xf>
    <xf numFmtId="0" fontId="15" fillId="4" borderId="27" xfId="0" applyFont="1" applyFill="1" applyBorder="1" applyAlignment="1">
      <alignment horizontal="center" vertical="top" wrapText="1"/>
    </xf>
    <xf numFmtId="0" fontId="2" fillId="5" borderId="27" xfId="0" applyFont="1" applyFill="1" applyBorder="1" applyAlignment="1">
      <alignment horizontal="left" vertical="top" wrapText="1"/>
    </xf>
    <xf numFmtId="0" fontId="15" fillId="4" borderId="28" xfId="0" applyFont="1" applyFill="1" applyBorder="1" applyAlignment="1">
      <alignment horizontal="left" vertical="top" wrapText="1" indent="3"/>
    </xf>
    <xf numFmtId="0" fontId="3" fillId="6" borderId="17" xfId="0" applyFont="1" applyFill="1" applyBorder="1" applyAlignment="1">
      <alignment horizontal="center" vertical="top" wrapText="1"/>
    </xf>
    <xf numFmtId="164" fontId="2" fillId="6" borderId="18" xfId="0" applyNumberFormat="1" applyFont="1" applyFill="1" applyBorder="1" applyAlignment="1">
      <alignment horizontal="center" vertical="top" wrapText="1"/>
    </xf>
    <xf numFmtId="10" fontId="2" fillId="6" borderId="18" xfId="0" quotePrefix="1" applyNumberFormat="1" applyFont="1" applyFill="1" applyBorder="1" applyAlignment="1">
      <alignment horizontal="center" vertical="top" wrapText="1"/>
    </xf>
    <xf numFmtId="0" fontId="2" fillId="6" borderId="19" xfId="0" applyFont="1" applyFill="1" applyBorder="1" applyAlignment="1">
      <alignment horizontal="center" vertical="top" wrapText="1"/>
    </xf>
    <xf numFmtId="164" fontId="12" fillId="12" borderId="0" xfId="0" applyNumberFormat="1" applyFont="1" applyFill="1" applyAlignment="1">
      <alignment horizontal="center" vertical="top" wrapText="1"/>
    </xf>
    <xf numFmtId="164" fontId="12" fillId="12" borderId="24" xfId="0" applyNumberFormat="1" applyFont="1" applyFill="1" applyBorder="1" applyAlignment="1">
      <alignment horizontal="center" vertical="top" wrapText="1"/>
    </xf>
    <xf numFmtId="0" fontId="12" fillId="12" borderId="24" xfId="0" applyFont="1" applyFill="1" applyBorder="1" applyAlignment="1">
      <alignment horizontal="center" vertical="top" wrapText="1"/>
    </xf>
    <xf numFmtId="0" fontId="3" fillId="8" borderId="17" xfId="0" applyFont="1" applyFill="1" applyBorder="1" applyAlignment="1">
      <alignment horizontal="center" vertical="top" wrapText="1"/>
    </xf>
    <xf numFmtId="1" fontId="16" fillId="8" borderId="18" xfId="0" quotePrefix="1" applyNumberFormat="1" applyFont="1" applyFill="1" applyBorder="1" applyAlignment="1">
      <alignment horizontal="center" vertical="top" wrapText="1"/>
    </xf>
    <xf numFmtId="0" fontId="15" fillId="8" borderId="19" xfId="0" applyFont="1" applyFill="1" applyBorder="1" applyAlignment="1">
      <alignment horizontal="center" vertical="top" wrapText="1"/>
    </xf>
    <xf numFmtId="164" fontId="29" fillId="12" borderId="0" xfId="0" applyNumberFormat="1" applyFont="1" applyFill="1" applyAlignment="1">
      <alignment horizontal="center" vertical="top" wrapText="1"/>
    </xf>
    <xf numFmtId="45" fontId="12" fillId="12" borderId="0" xfId="0" applyNumberFormat="1" applyFont="1" applyFill="1" applyAlignment="1">
      <alignment horizontal="center" vertical="top" wrapText="1"/>
    </xf>
    <xf numFmtId="165" fontId="12" fillId="12" borderId="0" xfId="0" applyNumberFormat="1" applyFont="1" applyFill="1" applyAlignment="1">
      <alignment horizontal="center" vertical="top" wrapText="1"/>
    </xf>
    <xf numFmtId="0" fontId="12" fillId="12" borderId="25" xfId="0" applyFont="1" applyFill="1" applyBorder="1" applyAlignment="1">
      <alignment horizontal="center" vertical="top" wrapText="1"/>
    </xf>
    <xf numFmtId="0" fontId="6" fillId="6" borderId="17" xfId="0" applyFont="1" applyFill="1" applyBorder="1" applyAlignment="1">
      <alignment horizontal="center" vertical="top" wrapText="1"/>
    </xf>
    <xf numFmtId="0" fontId="9" fillId="6" borderId="18" xfId="0" applyFont="1" applyFill="1" applyBorder="1" applyAlignment="1">
      <alignment horizontal="center" vertical="top" wrapText="1"/>
    </xf>
    <xf numFmtId="10" fontId="9" fillId="6" borderId="18" xfId="0" applyNumberFormat="1" applyFont="1" applyFill="1" applyBorder="1" applyAlignment="1">
      <alignment horizontal="center" vertical="top" wrapText="1"/>
    </xf>
    <xf numFmtId="0" fontId="9" fillId="11" borderId="18" xfId="0" applyFont="1" applyFill="1" applyBorder="1" applyAlignment="1">
      <alignment horizontal="center" vertical="top" wrapText="1"/>
    </xf>
    <xf numFmtId="0" fontId="9" fillId="6" borderId="18" xfId="0" applyFont="1" applyFill="1" applyBorder="1" applyAlignment="1">
      <alignment horizontal="left" vertical="top" wrapText="1"/>
    </xf>
    <xf numFmtId="0" fontId="9" fillId="6" borderId="19" xfId="0" applyFont="1" applyFill="1" applyBorder="1" applyAlignment="1">
      <alignment horizontal="left" vertical="top" wrapText="1"/>
    </xf>
    <xf numFmtId="0" fontId="12" fillId="13" borderId="0" xfId="0" applyFont="1" applyFill="1" applyAlignment="1">
      <alignment horizontal="center" vertical="top" wrapText="1"/>
    </xf>
    <xf numFmtId="165" fontId="12" fillId="12" borderId="24" xfId="0" applyNumberFormat="1" applyFont="1" applyFill="1" applyBorder="1" applyAlignment="1">
      <alignment horizontal="center" vertical="top" wrapText="1"/>
    </xf>
    <xf numFmtId="10" fontId="12" fillId="12" borderId="25" xfId="0" applyNumberFormat="1" applyFont="1" applyFill="1" applyBorder="1" applyAlignment="1">
      <alignment horizontal="center" vertical="top" wrapText="1"/>
    </xf>
    <xf numFmtId="0" fontId="10" fillId="2" borderId="27" xfId="0" applyFont="1" applyFill="1" applyBorder="1" applyAlignment="1">
      <alignment horizontal="center" vertical="top" wrapText="1"/>
    </xf>
    <xf numFmtId="10" fontId="11" fillId="3" borderId="27" xfId="0" applyNumberFormat="1" applyFont="1" applyFill="1" applyBorder="1" applyAlignment="1">
      <alignment horizontal="left" vertical="top" wrapText="1"/>
    </xf>
    <xf numFmtId="10" fontId="10" fillId="2" borderId="27" xfId="0" applyNumberFormat="1" applyFont="1" applyFill="1" applyBorder="1" applyAlignment="1">
      <alignment horizontal="center" vertical="top" wrapText="1"/>
    </xf>
    <xf numFmtId="10" fontId="10" fillId="2" borderId="28" xfId="0" applyNumberFormat="1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shrinkToFit="1"/>
    </xf>
    <xf numFmtId="0" fontId="7" fillId="0" borderId="7" xfId="0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 vertical="top" shrinkToFit="1"/>
    </xf>
    <xf numFmtId="1" fontId="1" fillId="0" borderId="8" xfId="0" applyNumberFormat="1" applyFont="1" applyBorder="1" applyAlignment="1">
      <alignment horizontal="center" vertical="top" shrinkToFit="1"/>
    </xf>
    <xf numFmtId="0" fontId="19" fillId="0" borderId="0" xfId="0" applyFont="1" applyAlignment="1">
      <alignment horizontal="left" wrapText="1"/>
    </xf>
    <xf numFmtId="1" fontId="7" fillId="0" borderId="6" xfId="0" applyNumberFormat="1" applyFont="1" applyBorder="1" applyAlignment="1">
      <alignment horizontal="center" vertical="top" shrinkToFit="1"/>
    </xf>
    <xf numFmtId="1" fontId="7" fillId="0" borderId="7" xfId="0" applyNumberFormat="1" applyFont="1" applyBorder="1" applyAlignment="1">
      <alignment horizontal="left" vertical="top" indent="3" shrinkToFit="1"/>
    </xf>
    <xf numFmtId="10" fontId="1" fillId="0" borderId="7" xfId="0" applyNumberFormat="1" applyFont="1" applyBorder="1" applyAlignment="1">
      <alignment horizontal="center" vertical="top" shrinkToFit="1"/>
    </xf>
    <xf numFmtId="164" fontId="7" fillId="0" borderId="7" xfId="0" applyNumberFormat="1" applyFont="1" applyBorder="1" applyAlignment="1">
      <alignment horizontal="center" vertical="top" shrinkToFit="1"/>
    </xf>
    <xf numFmtId="164" fontId="1" fillId="0" borderId="7" xfId="0" applyNumberFormat="1" applyFont="1" applyBorder="1" applyAlignment="1">
      <alignment horizontal="center" vertical="top" shrinkToFit="1"/>
    </xf>
    <xf numFmtId="165" fontId="1" fillId="0" borderId="7" xfId="0" applyNumberFormat="1" applyFont="1" applyBorder="1" applyAlignment="1">
      <alignment horizontal="center" vertical="top" shrinkToFit="1"/>
    </xf>
    <xf numFmtId="164" fontId="19" fillId="0" borderId="7" xfId="0" applyNumberFormat="1" applyFont="1" applyBorder="1" applyAlignment="1">
      <alignment horizontal="center" vertical="top" shrinkToFit="1"/>
    </xf>
    <xf numFmtId="1" fontId="7" fillId="0" borderId="7" xfId="0" applyNumberFormat="1" applyFont="1" applyBorder="1" applyAlignment="1">
      <alignment horizontal="center" vertical="top" shrinkToFit="1"/>
    </xf>
    <xf numFmtId="45" fontId="1" fillId="0" borderId="7" xfId="0" applyNumberFormat="1" applyFont="1" applyBorder="1" applyAlignment="1">
      <alignment horizontal="center" vertical="top" shrinkToFit="1"/>
    </xf>
    <xf numFmtId="45" fontId="1" fillId="0" borderId="7" xfId="0" quotePrefix="1" applyNumberFormat="1" applyFont="1" applyBorder="1" applyAlignment="1">
      <alignment horizontal="right" vertical="top" shrinkToFit="1"/>
    </xf>
    <xf numFmtId="45" fontId="1" fillId="0" borderId="7" xfId="0" applyNumberFormat="1" applyFont="1" applyBorder="1" applyAlignment="1">
      <alignment horizontal="left" vertical="top" shrinkToFit="1"/>
    </xf>
    <xf numFmtId="165" fontId="1" fillId="0" borderId="7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9" fontId="1" fillId="0" borderId="7" xfId="0" applyNumberFormat="1" applyFont="1" applyBorder="1" applyAlignment="1">
      <alignment horizontal="center" vertical="top" shrinkToFit="1"/>
    </xf>
    <xf numFmtId="9" fontId="1" fillId="0" borderId="8" xfId="0" applyNumberFormat="1" applyFont="1" applyBorder="1" applyAlignment="1">
      <alignment horizontal="center" vertical="top" shrinkToFit="1"/>
    </xf>
    <xf numFmtId="0" fontId="1" fillId="0" borderId="7" xfId="0" applyFont="1" applyBorder="1" applyAlignment="1">
      <alignment horizontal="center" vertical="top" shrinkToFit="1"/>
    </xf>
    <xf numFmtId="10" fontId="1" fillId="0" borderId="8" xfId="0" applyNumberFormat="1" applyFont="1" applyBorder="1" applyAlignment="1">
      <alignment horizontal="center" vertical="top" shrinkToFit="1"/>
    </xf>
    <xf numFmtId="0" fontId="7" fillId="0" borderId="9" xfId="0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1" fontId="1" fillId="0" borderId="10" xfId="0" applyNumberFormat="1" applyFont="1" applyBorder="1" applyAlignment="1">
      <alignment horizontal="center" vertical="top" shrinkToFit="1"/>
    </xf>
    <xf numFmtId="1" fontId="7" fillId="0" borderId="9" xfId="0" applyNumberFormat="1" applyFont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left" vertical="top" indent="3" shrinkToFit="1"/>
    </xf>
    <xf numFmtId="10" fontId="1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164" fontId="1" fillId="0" borderId="1" xfId="0" applyNumberFormat="1" applyFont="1" applyBorder="1" applyAlignment="1">
      <alignment horizontal="center" vertical="top" shrinkToFit="1"/>
    </xf>
    <xf numFmtId="165" fontId="1" fillId="0" borderId="1" xfId="0" applyNumberFormat="1" applyFont="1" applyBorder="1" applyAlignment="1">
      <alignment horizontal="center" vertical="top" shrinkToFit="1"/>
    </xf>
    <xf numFmtId="164" fontId="19" fillId="0" borderId="1" xfId="0" applyNumberFormat="1" applyFont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45" fontId="1" fillId="0" borderId="1" xfId="0" applyNumberFormat="1" applyFont="1" applyBorder="1" applyAlignment="1">
      <alignment horizontal="center" vertical="top" shrinkToFit="1"/>
    </xf>
    <xf numFmtId="45" fontId="1" fillId="0" borderId="1" xfId="0" quotePrefix="1" applyNumberFormat="1" applyFont="1" applyBorder="1" applyAlignment="1">
      <alignment horizontal="right" vertical="top" shrinkToFit="1"/>
    </xf>
    <xf numFmtId="45" fontId="1" fillId="0" borderId="1" xfId="0" applyNumberFormat="1" applyFont="1" applyBorder="1" applyAlignment="1">
      <alignment horizontal="left" vertical="top" shrinkToFit="1"/>
    </xf>
    <xf numFmtId="165" fontId="1" fillId="0" borderId="1" xfId="0" applyNumberFormat="1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shrinkToFit="1"/>
    </xf>
    <xf numFmtId="9" fontId="1" fillId="0" borderId="10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shrinkToFit="1"/>
    </xf>
    <xf numFmtId="10" fontId="1" fillId="0" borderId="10" xfId="0" applyNumberFormat="1" applyFont="1" applyBorder="1" applyAlignment="1">
      <alignment horizontal="center" vertical="top" shrinkToFit="1"/>
    </xf>
    <xf numFmtId="0" fontId="7" fillId="0" borderId="29" xfId="0" applyFont="1" applyBorder="1" applyAlignment="1">
      <alignment horizontal="center" vertical="top" shrinkToFit="1"/>
    </xf>
    <xf numFmtId="0" fontId="7" fillId="0" borderId="30" xfId="0" applyFont="1" applyBorder="1" applyAlignment="1">
      <alignment horizontal="center" vertical="top" shrinkToFit="1"/>
    </xf>
    <xf numFmtId="1" fontId="1" fillId="0" borderId="30" xfId="0" applyNumberFormat="1" applyFont="1" applyBorder="1" applyAlignment="1">
      <alignment horizontal="center" vertical="top" shrinkToFit="1"/>
    </xf>
    <xf numFmtId="1" fontId="1" fillId="0" borderId="31" xfId="0" applyNumberFormat="1" applyFont="1" applyBorder="1" applyAlignment="1">
      <alignment horizontal="center" vertical="top" shrinkToFit="1"/>
    </xf>
    <xf numFmtId="1" fontId="7" fillId="0" borderId="29" xfId="0" applyNumberFormat="1" applyFont="1" applyBorder="1" applyAlignment="1">
      <alignment horizontal="center" vertical="top" shrinkToFit="1"/>
    </xf>
    <xf numFmtId="1" fontId="7" fillId="0" borderId="30" xfId="0" applyNumberFormat="1" applyFont="1" applyBorder="1" applyAlignment="1">
      <alignment horizontal="left" vertical="top" indent="3" shrinkToFit="1"/>
    </xf>
    <xf numFmtId="10" fontId="1" fillId="0" borderId="30" xfId="0" applyNumberFormat="1" applyFont="1" applyBorder="1" applyAlignment="1">
      <alignment horizontal="center" vertical="top" shrinkToFit="1"/>
    </xf>
    <xf numFmtId="164" fontId="7" fillId="0" borderId="30" xfId="0" applyNumberFormat="1" applyFont="1" applyBorder="1" applyAlignment="1">
      <alignment horizontal="center" vertical="top" shrinkToFit="1"/>
    </xf>
    <xf numFmtId="164" fontId="1" fillId="0" borderId="30" xfId="0" applyNumberFormat="1" applyFont="1" applyBorder="1" applyAlignment="1">
      <alignment horizontal="center" vertical="top" shrinkToFit="1"/>
    </xf>
    <xf numFmtId="165" fontId="1" fillId="0" borderId="30" xfId="0" applyNumberFormat="1" applyFont="1" applyBorder="1" applyAlignment="1">
      <alignment horizontal="center" vertical="top" shrinkToFit="1"/>
    </xf>
    <xf numFmtId="164" fontId="19" fillId="0" borderId="30" xfId="0" applyNumberFormat="1" applyFont="1" applyBorder="1" applyAlignment="1">
      <alignment horizontal="center" vertical="top" shrinkToFit="1"/>
    </xf>
    <xf numFmtId="1" fontId="7" fillId="0" borderId="30" xfId="0" applyNumberFormat="1" applyFont="1" applyBorder="1" applyAlignment="1">
      <alignment horizontal="center" vertical="top" shrinkToFit="1"/>
    </xf>
    <xf numFmtId="45" fontId="1" fillId="0" borderId="30" xfId="0" applyNumberFormat="1" applyFont="1" applyBorder="1" applyAlignment="1">
      <alignment horizontal="center" vertical="top" shrinkToFit="1"/>
    </xf>
    <xf numFmtId="165" fontId="1" fillId="0" borderId="30" xfId="0" applyNumberFormat="1" applyFont="1" applyBorder="1" applyAlignment="1">
      <alignment horizontal="center" vertical="top" wrapText="1"/>
    </xf>
    <xf numFmtId="9" fontId="1" fillId="0" borderId="30" xfId="0" applyNumberFormat="1" applyFont="1" applyBorder="1" applyAlignment="1">
      <alignment horizontal="center" vertical="top" shrinkToFit="1"/>
    </xf>
    <xf numFmtId="9" fontId="1" fillId="0" borderId="31" xfId="0" applyNumberFormat="1" applyFont="1" applyBorder="1" applyAlignment="1">
      <alignment horizontal="center" vertical="top" shrinkToFit="1"/>
    </xf>
    <xf numFmtId="0" fontId="1" fillId="0" borderId="30" xfId="0" applyFont="1" applyBorder="1" applyAlignment="1">
      <alignment horizontal="center" vertical="top" shrinkToFit="1"/>
    </xf>
    <xf numFmtId="10" fontId="1" fillId="0" borderId="3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center" vertical="top"/>
    </xf>
    <xf numFmtId="1" fontId="7" fillId="0" borderId="0" xfId="0" applyNumberFormat="1" applyFont="1" applyAlignment="1">
      <alignment horizontal="center" vertical="top"/>
    </xf>
    <xf numFmtId="45" fontId="9" fillId="3" borderId="1" xfId="0" applyNumberFormat="1" applyFont="1" applyFill="1" applyBorder="1" applyAlignment="1">
      <alignment horizontal="left" vertical="top" shrinkToFit="1"/>
    </xf>
    <xf numFmtId="0" fontId="28" fillId="12" borderId="21" xfId="0" applyFont="1" applyFill="1" applyBorder="1" applyAlignment="1">
      <alignment horizontal="center" vertical="top" wrapText="1"/>
    </xf>
    <xf numFmtId="1" fontId="28" fillId="12" borderId="0" xfId="0" applyNumberFormat="1" applyFont="1" applyFill="1" applyAlignment="1">
      <alignment horizontal="center" vertical="top" wrapText="1"/>
    </xf>
    <xf numFmtId="1" fontId="12" fillId="12" borderId="24" xfId="0" quotePrefix="1" applyNumberFormat="1" applyFont="1" applyFill="1" applyBorder="1" applyAlignment="1">
      <alignment vertical="top" wrapText="1"/>
    </xf>
    <xf numFmtId="1" fontId="12" fillId="12" borderId="0" xfId="0" applyNumberFormat="1" applyFont="1" applyFill="1" applyAlignment="1">
      <alignment vertical="top" wrapText="1"/>
    </xf>
    <xf numFmtId="1" fontId="12" fillId="12" borderId="24" xfId="0" applyNumberFormat="1" applyFont="1" applyFill="1" applyBorder="1" applyAlignment="1">
      <alignment vertical="top" wrapText="1"/>
    </xf>
    <xf numFmtId="1" fontId="12" fillId="12" borderId="25" xfId="0" applyNumberFormat="1" applyFont="1" applyFill="1" applyBorder="1" applyAlignment="1">
      <alignment vertical="top" wrapText="1"/>
    </xf>
    <xf numFmtId="1" fontId="12" fillId="12" borderId="24" xfId="0" quotePrefix="1" applyNumberFormat="1" applyFont="1" applyFill="1" applyBorder="1" applyAlignment="1">
      <alignment horizontal="center" vertical="top" wrapText="1"/>
    </xf>
    <xf numFmtId="164" fontId="28" fillId="12" borderId="0" xfId="0" applyNumberFormat="1" applyFont="1" applyFill="1" applyAlignment="1">
      <alignment horizontal="center" vertical="top" wrapText="1"/>
    </xf>
    <xf numFmtId="164" fontId="28" fillId="12" borderId="24" xfId="0" applyNumberFormat="1" applyFont="1" applyFill="1" applyBorder="1" applyAlignment="1">
      <alignment horizontal="center" vertical="top" wrapText="1"/>
    </xf>
    <xf numFmtId="0" fontId="28" fillId="12" borderId="0" xfId="0" applyFont="1" applyFill="1" applyAlignment="1">
      <alignment horizontal="center" vertical="top" wrapText="1"/>
    </xf>
    <xf numFmtId="0" fontId="28" fillId="12" borderId="24" xfId="0" applyFont="1" applyFill="1" applyBorder="1" applyAlignment="1">
      <alignment horizontal="center" vertical="top" wrapText="1"/>
    </xf>
    <xf numFmtId="1" fontId="28" fillId="12" borderId="25" xfId="0" applyNumberFormat="1" applyFont="1" applyFill="1" applyBorder="1" applyAlignment="1">
      <alignment horizontal="center" vertical="top" wrapText="1"/>
    </xf>
    <xf numFmtId="1" fontId="28" fillId="12" borderId="24" xfId="0" applyNumberFormat="1" applyFont="1" applyFill="1" applyBorder="1" applyAlignment="1">
      <alignment horizontal="center" vertical="top" wrapText="1"/>
    </xf>
    <xf numFmtId="45" fontId="28" fillId="12" borderId="0" xfId="0" applyNumberFormat="1" applyFont="1" applyFill="1" applyAlignment="1">
      <alignment horizontal="center" vertical="top" wrapText="1"/>
    </xf>
    <xf numFmtId="45" fontId="28" fillId="12" borderId="22" xfId="0" applyNumberFormat="1" applyFont="1" applyFill="1" applyBorder="1" applyAlignment="1">
      <alignment horizontal="center" vertical="top" wrapText="1"/>
    </xf>
    <xf numFmtId="45" fontId="28" fillId="12" borderId="23" xfId="0" applyNumberFormat="1" applyFont="1" applyFill="1" applyBorder="1" applyAlignment="1">
      <alignment horizontal="center" vertical="top" wrapText="1"/>
    </xf>
    <xf numFmtId="165" fontId="28" fillId="12" borderId="0" xfId="0" applyNumberFormat="1" applyFont="1" applyFill="1" applyAlignment="1">
      <alignment horizontal="center" vertical="top" wrapText="1"/>
    </xf>
    <xf numFmtId="0" fontId="28" fillId="12" borderId="25" xfId="0" applyFont="1" applyFill="1" applyBorder="1" applyAlignment="1">
      <alignment horizontal="center" vertical="top" wrapText="1"/>
    </xf>
    <xf numFmtId="0" fontId="28" fillId="13" borderId="0" xfId="0" applyFont="1" applyFill="1" applyAlignment="1">
      <alignment horizontal="center" vertical="top" wrapText="1"/>
    </xf>
    <xf numFmtId="10" fontId="28" fillId="12" borderId="0" xfId="0" applyNumberFormat="1" applyFont="1" applyFill="1" applyAlignment="1">
      <alignment horizontal="center" vertical="top" wrapText="1"/>
    </xf>
    <xf numFmtId="2" fontId="28" fillId="12" borderId="24" xfId="0" applyNumberFormat="1" applyFont="1" applyFill="1" applyBorder="1" applyAlignment="1">
      <alignment horizontal="center" vertical="top" wrapText="1"/>
    </xf>
    <xf numFmtId="10" fontId="28" fillId="12" borderId="24" xfId="0" applyNumberFormat="1" applyFont="1" applyFill="1" applyBorder="1" applyAlignment="1">
      <alignment horizontal="center" vertical="top" wrapText="1"/>
    </xf>
    <xf numFmtId="10" fontId="28" fillId="12" borderId="25" xfId="0" applyNumberFormat="1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/>
    </xf>
    <xf numFmtId="1" fontId="7" fillId="3" borderId="1" xfId="0" applyNumberFormat="1" applyFont="1" applyFill="1" applyBorder="1" applyAlignment="1">
      <alignment horizontal="center" vertical="top"/>
    </xf>
    <xf numFmtId="10" fontId="7" fillId="3" borderId="1" xfId="0" applyNumberFormat="1" applyFont="1" applyFill="1" applyBorder="1" applyAlignment="1">
      <alignment horizontal="center" vertical="top"/>
    </xf>
    <xf numFmtId="165" fontId="7" fillId="3" borderId="1" xfId="0" applyNumberFormat="1" applyFont="1" applyFill="1" applyBorder="1" applyAlignment="1">
      <alignment horizontal="center" vertical="top"/>
    </xf>
    <xf numFmtId="1" fontId="7" fillId="13" borderId="7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7" fillId="16" borderId="6" xfId="0" applyFont="1" applyFill="1" applyBorder="1" applyAlignment="1">
      <alignment horizontal="center" vertical="top"/>
    </xf>
    <xf numFmtId="1" fontId="7" fillId="16" borderId="7" xfId="0" applyNumberFormat="1" applyFont="1" applyFill="1" applyBorder="1" applyAlignment="1">
      <alignment horizontal="center" vertical="top"/>
    </xf>
    <xf numFmtId="10" fontId="7" fillId="16" borderId="7" xfId="0" applyNumberFormat="1" applyFont="1" applyFill="1" applyBorder="1" applyAlignment="1">
      <alignment horizontal="center" vertical="top"/>
    </xf>
    <xf numFmtId="1" fontId="7" fillId="16" borderId="8" xfId="0" applyNumberFormat="1" applyFont="1" applyFill="1" applyBorder="1" applyAlignment="1">
      <alignment horizontal="center" vertical="top"/>
    </xf>
    <xf numFmtId="1" fontId="7" fillId="16" borderId="7" xfId="0" quotePrefix="1" applyNumberFormat="1" applyFont="1" applyFill="1" applyBorder="1" applyAlignment="1">
      <alignment horizontal="right" vertical="top"/>
    </xf>
    <xf numFmtId="165" fontId="7" fillId="16" borderId="7" xfId="0" applyNumberFormat="1" applyFont="1" applyFill="1" applyBorder="1" applyAlignment="1">
      <alignment horizontal="center" vertical="top"/>
    </xf>
    <xf numFmtId="10" fontId="7" fillId="16" borderId="8" xfId="0" applyNumberFormat="1" applyFont="1" applyFill="1" applyBorder="1" applyAlignment="1">
      <alignment horizontal="center" vertical="top"/>
    </xf>
    <xf numFmtId="0" fontId="7" fillId="16" borderId="7" xfId="0" applyFont="1" applyFill="1" applyBorder="1" applyAlignment="1">
      <alignment horizontal="center" vertical="top"/>
    </xf>
    <xf numFmtId="0" fontId="33" fillId="16" borderId="1" xfId="0" applyFont="1" applyFill="1" applyBorder="1" applyAlignment="1">
      <alignment horizontal="center" vertical="center" wrapText="1"/>
    </xf>
    <xf numFmtId="1" fontId="33" fillId="16" borderId="1" xfId="0" applyNumberFormat="1" applyFont="1" applyFill="1" applyBorder="1" applyAlignment="1">
      <alignment horizontal="center" vertical="center" wrapText="1"/>
    </xf>
    <xf numFmtId="1" fontId="33" fillId="16" borderId="1" xfId="0" quotePrefix="1" applyNumberFormat="1" applyFont="1" applyFill="1" applyBorder="1" applyAlignment="1">
      <alignment vertical="center" wrapText="1"/>
    </xf>
    <xf numFmtId="1" fontId="33" fillId="16" borderId="1" xfId="0" applyNumberFormat="1" applyFont="1" applyFill="1" applyBorder="1" applyAlignment="1">
      <alignment vertical="center" wrapText="1"/>
    </xf>
    <xf numFmtId="1" fontId="33" fillId="16" borderId="1" xfId="0" quotePrefix="1" applyNumberFormat="1" applyFont="1" applyFill="1" applyBorder="1" applyAlignment="1">
      <alignment horizontal="center" vertical="center" wrapText="1"/>
    </xf>
    <xf numFmtId="164" fontId="33" fillId="16" borderId="1" xfId="0" applyNumberFormat="1" applyFont="1" applyFill="1" applyBorder="1" applyAlignment="1">
      <alignment horizontal="center" vertical="center" wrapText="1"/>
    </xf>
    <xf numFmtId="45" fontId="33" fillId="16" borderId="1" xfId="0" applyNumberFormat="1" applyFont="1" applyFill="1" applyBorder="1" applyAlignment="1">
      <alignment horizontal="center" vertical="center" wrapText="1"/>
    </xf>
    <xf numFmtId="165" fontId="33" fillId="16" borderId="1" xfId="0" applyNumberFormat="1" applyFont="1" applyFill="1" applyBorder="1" applyAlignment="1">
      <alignment horizontal="center" vertical="center" wrapText="1"/>
    </xf>
    <xf numFmtId="1" fontId="7" fillId="3" borderId="1" xfId="0" quotePrefix="1" applyNumberFormat="1" applyFont="1" applyFill="1" applyBorder="1" applyAlignment="1">
      <alignment horizontal="right" vertical="top"/>
    </xf>
    <xf numFmtId="1" fontId="7" fillId="13" borderId="1" xfId="0" applyNumberFormat="1" applyFont="1" applyFill="1" applyBorder="1" applyAlignment="1">
      <alignment horizontal="center" vertical="top"/>
    </xf>
    <xf numFmtId="0" fontId="33" fillId="13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/>
    </xf>
    <xf numFmtId="10" fontId="33" fillId="16" borderId="1" xfId="0" applyNumberFormat="1" applyFont="1" applyFill="1" applyBorder="1" applyAlignment="1">
      <alignment horizontal="center" vertical="center" wrapText="1"/>
    </xf>
    <xf numFmtId="2" fontId="33" fillId="16" borderId="1" xfId="0" applyNumberFormat="1" applyFont="1" applyFill="1" applyBorder="1" applyAlignment="1">
      <alignment horizontal="center" vertical="center" wrapText="1"/>
    </xf>
    <xf numFmtId="0" fontId="33" fillId="16" borderId="9" xfId="0" applyFont="1" applyFill="1" applyBorder="1" applyAlignment="1">
      <alignment horizontal="center" vertical="center" wrapText="1"/>
    </xf>
    <xf numFmtId="1" fontId="33" fillId="16" borderId="10" xfId="0" applyNumberFormat="1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top"/>
    </xf>
    <xf numFmtId="1" fontId="7" fillId="3" borderId="10" xfId="0" applyNumberFormat="1" applyFont="1" applyFill="1" applyBorder="1" applyAlignment="1">
      <alignment horizontal="center" vertical="top"/>
    </xf>
    <xf numFmtId="0" fontId="33" fillId="3" borderId="29" xfId="0" applyFont="1" applyFill="1" applyBorder="1" applyAlignment="1">
      <alignment horizontal="center" vertical="center" wrapText="1"/>
    </xf>
    <xf numFmtId="1" fontId="33" fillId="3" borderId="30" xfId="0" applyNumberFormat="1" applyFont="1" applyFill="1" applyBorder="1" applyAlignment="1">
      <alignment horizontal="center" vertical="center" wrapText="1"/>
    </xf>
    <xf numFmtId="1" fontId="33" fillId="3" borderId="30" xfId="0" quotePrefix="1" applyNumberFormat="1" applyFont="1" applyFill="1" applyBorder="1" applyAlignment="1">
      <alignment vertical="center" wrapText="1"/>
    </xf>
    <xf numFmtId="1" fontId="33" fillId="3" borderId="30" xfId="0" applyNumberFormat="1" applyFont="1" applyFill="1" applyBorder="1" applyAlignment="1">
      <alignment vertical="center" wrapText="1"/>
    </xf>
    <xf numFmtId="1" fontId="33" fillId="3" borderId="31" xfId="0" applyNumberFormat="1" applyFont="1" applyFill="1" applyBorder="1" applyAlignment="1">
      <alignment vertical="center" wrapText="1"/>
    </xf>
    <xf numFmtId="1" fontId="33" fillId="3" borderId="30" xfId="0" quotePrefix="1" applyNumberFormat="1" applyFont="1" applyFill="1" applyBorder="1" applyAlignment="1">
      <alignment horizontal="center" vertical="center" wrapText="1"/>
    </xf>
    <xf numFmtId="1" fontId="33" fillId="16" borderId="10" xfId="0" applyNumberFormat="1" applyFont="1" applyFill="1" applyBorder="1" applyAlignment="1">
      <alignment horizontal="center" vertical="center" wrapText="1"/>
    </xf>
    <xf numFmtId="164" fontId="33" fillId="3" borderId="30" xfId="0" applyNumberFormat="1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1" fontId="33" fillId="3" borderId="31" xfId="0" applyNumberFormat="1" applyFont="1" applyFill="1" applyBorder="1" applyAlignment="1">
      <alignment horizontal="center" vertical="center" wrapText="1"/>
    </xf>
    <xf numFmtId="45" fontId="9" fillId="16" borderId="7" xfId="0" applyNumberFormat="1" applyFont="1" applyFill="1" applyBorder="1" applyAlignment="1">
      <alignment horizontal="left" vertical="top" shrinkToFit="1"/>
    </xf>
    <xf numFmtId="0" fontId="33" fillId="16" borderId="10" xfId="0" applyFont="1" applyFill="1" applyBorder="1" applyAlignment="1">
      <alignment horizontal="center" vertical="center" wrapText="1"/>
    </xf>
    <xf numFmtId="45" fontId="33" fillId="3" borderId="30" xfId="0" applyNumberFormat="1" applyFont="1" applyFill="1" applyBorder="1" applyAlignment="1">
      <alignment horizontal="center" vertical="center" wrapText="1"/>
    </xf>
    <xf numFmtId="165" fontId="33" fillId="3" borderId="30" xfId="0" applyNumberFormat="1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center" vertical="center" wrapText="1"/>
    </xf>
    <xf numFmtId="1" fontId="24" fillId="16" borderId="10" xfId="0" applyNumberFormat="1" applyFont="1" applyFill="1" applyBorder="1" applyAlignment="1">
      <alignment horizontal="center" vertical="center"/>
    </xf>
    <xf numFmtId="10" fontId="7" fillId="3" borderId="10" xfId="0" applyNumberFormat="1" applyFont="1" applyFill="1" applyBorder="1" applyAlignment="1">
      <alignment horizontal="center" vertical="top"/>
    </xf>
    <xf numFmtId="0" fontId="33" fillId="13" borderId="30" xfId="0" applyFont="1" applyFill="1" applyBorder="1" applyAlignment="1">
      <alignment horizontal="center" vertical="center" wrapText="1"/>
    </xf>
    <xf numFmtId="10" fontId="33" fillId="16" borderId="10" xfId="0" applyNumberFormat="1" applyFont="1" applyFill="1" applyBorder="1" applyAlignment="1">
      <alignment horizontal="center" vertical="center" wrapText="1"/>
    </xf>
    <xf numFmtId="2" fontId="33" fillId="3" borderId="30" xfId="0" applyNumberFormat="1" applyFont="1" applyFill="1" applyBorder="1" applyAlignment="1">
      <alignment horizontal="center" vertical="center" wrapText="1"/>
    </xf>
    <xf numFmtId="10" fontId="33" fillId="3" borderId="30" xfId="0" applyNumberFormat="1" applyFont="1" applyFill="1" applyBorder="1" applyAlignment="1">
      <alignment horizontal="center" vertical="center" wrapText="1"/>
    </xf>
    <xf numFmtId="10" fontId="33" fillId="3" borderId="31" xfId="0" applyNumberFormat="1" applyFont="1" applyFill="1" applyBorder="1" applyAlignment="1">
      <alignment horizontal="center" vertical="center" wrapText="1"/>
    </xf>
    <xf numFmtId="0" fontId="23" fillId="17" borderId="6" xfId="0" applyFont="1" applyFill="1" applyBorder="1" applyAlignment="1">
      <alignment horizontal="center" vertical="top" wrapText="1"/>
    </xf>
    <xf numFmtId="0" fontId="24" fillId="17" borderId="7" xfId="0" applyFont="1" applyFill="1" applyBorder="1" applyAlignment="1">
      <alignment horizontal="left" vertical="top" wrapText="1"/>
    </xf>
    <xf numFmtId="2" fontId="24" fillId="17" borderId="7" xfId="0" applyNumberFormat="1" applyFont="1" applyFill="1" applyBorder="1" applyAlignment="1">
      <alignment horizontal="left" vertical="top" wrapText="1"/>
    </xf>
    <xf numFmtId="0" fontId="25" fillId="17" borderId="7" xfId="0" applyFont="1" applyFill="1" applyBorder="1" applyAlignment="1">
      <alignment horizontal="left" vertical="top" wrapText="1" indent="3"/>
    </xf>
    <xf numFmtId="10" fontId="23" fillId="17" borderId="7" xfId="0" applyNumberFormat="1" applyFont="1" applyFill="1" applyBorder="1" applyAlignment="1">
      <alignment horizontal="center" vertical="top" wrapText="1"/>
    </xf>
    <xf numFmtId="0" fontId="25" fillId="17" borderId="7" xfId="0" applyFont="1" applyFill="1" applyBorder="1" applyAlignment="1">
      <alignment horizontal="center" vertical="top" wrapText="1"/>
    </xf>
    <xf numFmtId="0" fontId="25" fillId="17" borderId="8" xfId="0" applyFont="1" applyFill="1" applyBorder="1" applyAlignment="1">
      <alignment horizontal="center" vertical="top" wrapText="1"/>
    </xf>
    <xf numFmtId="0" fontId="23" fillId="10" borderId="6" xfId="0" applyFont="1" applyFill="1" applyBorder="1" applyAlignment="1">
      <alignment horizontal="center" vertical="top" wrapText="1"/>
    </xf>
    <xf numFmtId="0" fontId="23" fillId="10" borderId="7" xfId="0" applyFont="1" applyFill="1" applyBorder="1" applyAlignment="1">
      <alignment horizontal="center" vertical="top" wrapText="1"/>
    </xf>
    <xf numFmtId="10" fontId="24" fillId="10" borderId="7" xfId="0" applyNumberFormat="1" applyFont="1" applyFill="1" applyBorder="1" applyAlignment="1">
      <alignment horizontal="center" vertical="top" wrapText="1"/>
    </xf>
    <xf numFmtId="10" fontId="23" fillId="10" borderId="7" xfId="0" applyNumberFormat="1" applyFont="1" applyFill="1" applyBorder="1" applyAlignment="1">
      <alignment horizontal="center" vertical="top" wrapText="1"/>
    </xf>
    <xf numFmtId="10" fontId="23" fillId="10" borderId="8" xfId="0" applyNumberFormat="1" applyFont="1" applyFill="1" applyBorder="1" applyAlignment="1">
      <alignment horizontal="center" vertical="top" wrapText="1"/>
    </xf>
    <xf numFmtId="0" fontId="23" fillId="3" borderId="11" xfId="0" applyFont="1" applyFill="1" applyBorder="1" applyAlignment="1">
      <alignment horizontal="center" vertical="top" wrapText="1"/>
    </xf>
    <xf numFmtId="0" fontId="25" fillId="3" borderId="12" xfId="0" applyFont="1" applyFill="1" applyBorder="1" applyAlignment="1">
      <alignment horizontal="left" vertical="top" wrapText="1"/>
    </xf>
    <xf numFmtId="0" fontId="25" fillId="3" borderId="12" xfId="0" applyFont="1" applyFill="1" applyBorder="1" applyAlignment="1">
      <alignment horizontal="center" vertical="top" wrapText="1"/>
    </xf>
    <xf numFmtId="0" fontId="23" fillId="3" borderId="12" xfId="0" applyFont="1" applyFill="1" applyBorder="1" applyAlignment="1">
      <alignment horizontal="center" vertical="top" wrapText="1"/>
    </xf>
    <xf numFmtId="0" fontId="25" fillId="3" borderId="13" xfId="0" applyFont="1" applyFill="1" applyBorder="1" applyAlignment="1">
      <alignment horizontal="center" vertical="top" wrapText="1"/>
    </xf>
    <xf numFmtId="0" fontId="23" fillId="18" borderId="6" xfId="0" applyFont="1" applyFill="1" applyBorder="1" applyAlignment="1">
      <alignment horizontal="center" vertical="top" wrapText="1"/>
    </xf>
    <xf numFmtId="0" fontId="24" fillId="18" borderId="7" xfId="0" applyFont="1" applyFill="1" applyBorder="1" applyAlignment="1">
      <alignment horizontal="left" vertical="top" wrapText="1"/>
    </xf>
    <xf numFmtId="0" fontId="23" fillId="18" borderId="7" xfId="0" applyFont="1" applyFill="1" applyBorder="1" applyAlignment="1">
      <alignment horizontal="center" vertical="top" wrapText="1"/>
    </xf>
    <xf numFmtId="0" fontId="23" fillId="18" borderId="8" xfId="0" applyFont="1" applyFill="1" applyBorder="1" applyAlignment="1">
      <alignment horizontal="center" vertical="top" wrapText="1"/>
    </xf>
    <xf numFmtId="0" fontId="23" fillId="16" borderId="11" xfId="0" applyFont="1" applyFill="1" applyBorder="1" applyAlignment="1">
      <alignment horizontal="center" vertical="top" wrapText="1"/>
    </xf>
    <xf numFmtId="0" fontId="23" fillId="16" borderId="20" xfId="0" applyFont="1" applyFill="1" applyBorder="1" applyAlignment="1">
      <alignment horizontal="center" vertical="top" wrapText="1"/>
    </xf>
    <xf numFmtId="0" fontId="23" fillId="16" borderId="7" xfId="0" applyFont="1" applyFill="1" applyBorder="1" applyAlignment="1">
      <alignment horizontal="center" vertical="top" wrapText="1"/>
    </xf>
    <xf numFmtId="0" fontId="24" fillId="16" borderId="7" xfId="0" applyFont="1" applyFill="1" applyBorder="1" applyAlignment="1">
      <alignment horizontal="left" vertical="top" wrapText="1"/>
    </xf>
    <xf numFmtId="0" fontId="25" fillId="16" borderId="12" xfId="0" applyFont="1" applyFill="1" applyBorder="1" applyAlignment="1">
      <alignment horizontal="center" vertical="top" wrapText="1"/>
    </xf>
    <xf numFmtId="0" fontId="25" fillId="16" borderId="12" xfId="0" applyFont="1" applyFill="1" applyBorder="1" applyAlignment="1">
      <alignment horizontal="left" vertical="top" wrapText="1"/>
    </xf>
    <xf numFmtId="0" fontId="23" fillId="16" borderId="13" xfId="0" applyFont="1" applyFill="1" applyBorder="1" applyAlignment="1">
      <alignment horizontal="center" vertical="top" wrapText="1"/>
    </xf>
    <xf numFmtId="0" fontId="23" fillId="19" borderId="11" xfId="0" applyFont="1" applyFill="1" applyBorder="1" applyAlignment="1">
      <alignment horizontal="center" vertical="top" wrapText="1"/>
    </xf>
    <xf numFmtId="0" fontId="24" fillId="19" borderId="7" xfId="0" applyFont="1" applyFill="1" applyBorder="1" applyAlignment="1">
      <alignment horizontal="left" vertical="top" wrapText="1"/>
    </xf>
    <xf numFmtId="0" fontId="23" fillId="19" borderId="12" xfId="0" applyFont="1" applyFill="1" applyBorder="1" applyAlignment="1">
      <alignment horizontal="center" vertical="top" wrapText="1"/>
    </xf>
    <xf numFmtId="0" fontId="24" fillId="19" borderId="7" xfId="0" applyFont="1" applyFill="1" applyBorder="1" applyAlignment="1">
      <alignment horizontal="center" vertical="top" wrapText="1"/>
    </xf>
    <xf numFmtId="0" fontId="23" fillId="19" borderId="16" xfId="0" applyFont="1" applyFill="1" applyBorder="1" applyAlignment="1">
      <alignment horizontal="center" vertical="top" wrapText="1"/>
    </xf>
    <xf numFmtId="0" fontId="25" fillId="19" borderId="12" xfId="0" applyFont="1" applyFill="1" applyBorder="1" applyAlignment="1">
      <alignment horizontal="center" vertical="top" wrapText="1"/>
    </xf>
    <xf numFmtId="0" fontId="25" fillId="19" borderId="13" xfId="0" applyFont="1" applyFill="1" applyBorder="1" applyAlignment="1">
      <alignment horizontal="center" vertical="top" wrapText="1"/>
    </xf>
    <xf numFmtId="0" fontId="0" fillId="20" borderId="0" xfId="0" applyFill="1" applyAlignment="1">
      <alignment horizontal="left" vertical="top"/>
    </xf>
    <xf numFmtId="10" fontId="0" fillId="20" borderId="0" xfId="0" applyNumberFormat="1" applyFill="1" applyAlignment="1">
      <alignment horizontal="left" vertical="top"/>
    </xf>
    <xf numFmtId="0" fontId="0" fillId="16" borderId="0" xfId="0" applyFill="1" applyAlignment="1">
      <alignment horizontal="left" vertical="top"/>
    </xf>
    <xf numFmtId="10" fontId="0" fillId="16" borderId="0" xfId="0" applyNumberFormat="1" applyFill="1" applyAlignment="1">
      <alignment horizontal="left" vertical="top"/>
    </xf>
    <xf numFmtId="0" fontId="12" fillId="12" borderId="25" xfId="0" applyFont="1" applyFill="1" applyBorder="1" applyAlignment="1">
      <alignment horizontal="center" vertical="top" wrapText="1"/>
    </xf>
    <xf numFmtId="0" fontId="12" fillId="12" borderId="24" xfId="0" applyFont="1" applyFill="1" applyBorder="1" applyAlignment="1">
      <alignment horizontal="center" vertical="top" wrapText="1"/>
    </xf>
    <xf numFmtId="45" fontId="12" fillId="12" borderId="22" xfId="0" applyNumberFormat="1" applyFont="1" applyFill="1" applyBorder="1" applyAlignment="1">
      <alignment horizontal="center" vertical="top" wrapText="1"/>
    </xf>
    <xf numFmtId="45" fontId="12" fillId="12" borderId="23" xfId="0" applyNumberFormat="1" applyFont="1" applyFill="1" applyBorder="1" applyAlignment="1">
      <alignment horizontal="center" vertical="top" wrapText="1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 wrapText="1"/>
    </xf>
    <xf numFmtId="0" fontId="25" fillId="16" borderId="14" xfId="0" applyFont="1" applyFill="1" applyBorder="1" applyAlignment="1">
      <alignment horizontal="center" vertical="top" wrapText="1"/>
    </xf>
    <xf numFmtId="0" fontId="25" fillId="16" borderId="15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top" wrapText="1"/>
    </xf>
    <xf numFmtId="0" fontId="2" fillId="8" borderId="5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</cellXfs>
  <cellStyles count="1">
    <cellStyle name="Normal" xfId="0" builtinId="0"/>
  </cellStyles>
  <dxfs count="6"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9FF178"/>
        </patternFill>
      </fill>
    </dxf>
    <dxf>
      <fill>
        <patternFill>
          <bgColor rgb="FFF8CF96"/>
        </patternFill>
      </fill>
    </dxf>
    <dxf>
      <fill>
        <patternFill>
          <bgColor rgb="FFF8FAD2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9FF178"/>
      <color rgb="FFF8CF96"/>
      <color rgb="FFF8F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1295400</xdr:colOff>
      <xdr:row>0</xdr:row>
      <xdr:rowOff>88900</xdr:rowOff>
    </xdr:from>
    <xdr:to>
      <xdr:col>9</xdr:col>
      <xdr:colOff>304800</xdr:colOff>
      <xdr:row>1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E5148-0636-667B-4134-F76A18904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" y="88900"/>
          <a:ext cx="1206500" cy="495300"/>
        </a:xfrm>
        <a:prstGeom prst="rect">
          <a:avLst/>
        </a:prstGeom>
      </xdr:spPr>
    </xdr:pic>
    <xdr:clientData/>
  </xdr:twoCellAnchor>
  <xdr:oneCellAnchor>
    <xdr:from>
      <xdr:col>16</xdr:col>
      <xdr:colOff>584200</xdr:colOff>
      <xdr:row>0</xdr:row>
      <xdr:rowOff>101600</xdr:rowOff>
    </xdr:from>
    <xdr:ext cx="1206500" cy="495300"/>
    <xdr:pic>
      <xdr:nvPicPr>
        <xdr:cNvPr id="4" name="Picture 3">
          <a:extLst>
            <a:ext uri="{FF2B5EF4-FFF2-40B4-BE49-F238E27FC236}">
              <a16:creationId xmlns:a16="http://schemas.microsoft.com/office/drawing/2014/main" id="{BE60C684-E25C-F544-A4B9-5AE066D95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4700" y="101600"/>
          <a:ext cx="1206500" cy="495300"/>
        </a:xfrm>
        <a:prstGeom prst="rect">
          <a:avLst/>
        </a:prstGeom>
      </xdr:spPr>
    </xdr:pic>
    <xdr:clientData/>
  </xdr:oneCellAnchor>
  <xdr:twoCellAnchor editAs="oneCell">
    <xdr:from>
      <xdr:col>29</xdr:col>
      <xdr:colOff>419100</xdr:colOff>
      <xdr:row>0</xdr:row>
      <xdr:rowOff>88900</xdr:rowOff>
    </xdr:from>
    <xdr:to>
      <xdr:col>31</xdr:col>
      <xdr:colOff>800099</xdr:colOff>
      <xdr:row>1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B9BEB8-B44D-A441-9A30-B5DF2443A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0" y="88900"/>
          <a:ext cx="1206499" cy="495300"/>
        </a:xfrm>
        <a:prstGeom prst="rect">
          <a:avLst/>
        </a:prstGeom>
      </xdr:spPr>
    </xdr:pic>
    <xdr:clientData/>
  </xdr:twoCellAnchor>
  <xdr:twoCellAnchor editAs="oneCell">
    <xdr:from>
      <xdr:col>40</xdr:col>
      <xdr:colOff>1172636</xdr:colOff>
      <xdr:row>0</xdr:row>
      <xdr:rowOff>63500</xdr:rowOff>
    </xdr:from>
    <xdr:to>
      <xdr:col>44</xdr:col>
      <xdr:colOff>232835</xdr:colOff>
      <xdr:row>0</xdr:row>
      <xdr:rowOff>558800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B13435-2190-5849-BD57-434D73A60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87636" y="63500"/>
          <a:ext cx="1198032" cy="495300"/>
        </a:xfrm>
        <a:prstGeom prst="rect">
          <a:avLst/>
        </a:prstGeom>
      </xdr:spPr>
    </xdr:pic>
    <xdr:clientData/>
  </xdr:twoCellAnchor>
  <xdr:twoCellAnchor editAs="oneCell">
    <xdr:from>
      <xdr:col>56</xdr:col>
      <xdr:colOff>347131</xdr:colOff>
      <xdr:row>0</xdr:row>
      <xdr:rowOff>76200</xdr:rowOff>
    </xdr:from>
    <xdr:to>
      <xdr:col>60</xdr:col>
      <xdr:colOff>292100</xdr:colOff>
      <xdr:row>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651716-7686-824C-8256-A0C079120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7231" y="76200"/>
          <a:ext cx="1214969" cy="495300"/>
        </a:xfrm>
        <a:prstGeom prst="rect">
          <a:avLst/>
        </a:prstGeom>
      </xdr:spPr>
    </xdr:pic>
    <xdr:clientData/>
  </xdr:twoCellAnchor>
  <xdr:twoCellAnchor editAs="oneCell">
    <xdr:from>
      <xdr:col>70</xdr:col>
      <xdr:colOff>203200</xdr:colOff>
      <xdr:row>0</xdr:row>
      <xdr:rowOff>76200</xdr:rowOff>
    </xdr:from>
    <xdr:to>
      <xdr:col>73</xdr:col>
      <xdr:colOff>304801</xdr:colOff>
      <xdr:row>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821439-173A-334D-92DC-E8C33893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82400" y="76200"/>
          <a:ext cx="12065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E1E0-4749-9C41-8010-A01D2AAB1C80}">
  <sheetPr codeName="Sheet1"/>
  <dimension ref="A1:BY48"/>
  <sheetViews>
    <sheetView tabSelected="1" topLeftCell="O2" zoomScaleNormal="100" workbookViewId="0">
      <selection activeCell="BS39" sqref="BS39:BY39"/>
    </sheetView>
  </sheetViews>
  <sheetFormatPr baseColWidth="10" defaultColWidth="9" defaultRowHeight="13" x14ac:dyDescent="0.15"/>
  <cols>
    <col min="1" max="3" width="9" style="1"/>
    <col min="4" max="4" width="19" style="1" customWidth="1"/>
    <col min="5" max="5" width="25" style="1" customWidth="1"/>
    <col min="6" max="6" width="21.59765625" style="1" customWidth="1"/>
    <col min="7" max="7" width="14" style="1" hidden="1" customWidth="1"/>
    <col min="8" max="8" width="13" style="1" customWidth="1"/>
    <col min="9" max="9" width="14.19921875" style="1" hidden="1" customWidth="1"/>
    <col min="10" max="10" width="13" style="1" customWidth="1"/>
    <col min="11" max="11" width="15.796875" style="1" hidden="1" customWidth="1"/>
    <col min="12" max="12" width="13" style="1" customWidth="1"/>
    <col min="13" max="13" width="19" style="1" hidden="1" customWidth="1"/>
    <col min="14" max="14" width="9" style="1" customWidth="1"/>
    <col min="15" max="15" width="24.3984375" style="1" customWidth="1"/>
    <col min="16" max="16" width="16.796875" style="5" hidden="1" customWidth="1"/>
    <col min="17" max="17" width="13" style="1" customWidth="1"/>
    <col min="18" max="18" width="17.3984375" style="1" hidden="1" customWidth="1"/>
    <col min="19" max="19" width="13" style="2" customWidth="1"/>
    <col min="20" max="20" width="17.3984375" style="1" hidden="1" customWidth="1"/>
    <col min="21" max="21" width="13" style="1" customWidth="1"/>
    <col min="22" max="22" width="17.3984375" style="1" hidden="1" customWidth="1"/>
    <col min="23" max="23" width="13" style="1" customWidth="1"/>
    <col min="24" max="24" width="16.19921875" style="1" hidden="1" customWidth="1"/>
    <col min="25" max="25" width="11.796875" style="1" customWidth="1"/>
    <col min="26" max="26" width="17" style="1" customWidth="1"/>
    <col min="27" max="27" width="17" style="1" hidden="1" customWidth="1"/>
    <col min="28" max="28" width="21.3984375" style="1" bestFit="1" customWidth="1"/>
    <col min="29" max="29" width="15.59765625" style="1" hidden="1" customWidth="1"/>
    <col min="30" max="30" width="13" style="1" customWidth="1"/>
    <col min="31" max="31" width="15.59765625" style="1" hidden="1" customWidth="1"/>
    <col min="32" max="32" width="13" style="1" customWidth="1"/>
    <col min="33" max="33" width="15.59765625" style="1" hidden="1" customWidth="1"/>
    <col min="34" max="34" width="13" style="1" customWidth="1"/>
    <col min="35" max="35" width="15.59765625" style="1" hidden="1" customWidth="1"/>
    <col min="36" max="36" width="13" style="1" customWidth="1"/>
    <col min="37" max="37" width="5" style="1" customWidth="1"/>
    <col min="38" max="38" width="17" style="1" hidden="1" customWidth="1"/>
    <col min="39" max="39" width="21.3984375" style="1" bestFit="1" customWidth="1"/>
    <col min="40" max="40" width="18.796875" style="1" hidden="1" customWidth="1"/>
    <col min="41" max="41" width="18.796875" style="1" customWidth="1"/>
    <col min="42" max="42" width="15.59765625" style="1" hidden="1" customWidth="1"/>
    <col min="43" max="43" width="15" style="1" customWidth="1"/>
    <col min="44" max="44" width="15.59765625" style="1" hidden="1" customWidth="1"/>
    <col min="45" max="45" width="15" style="1" customWidth="1"/>
    <col min="46" max="46" width="15.59765625" style="1" hidden="1" customWidth="1"/>
    <col min="47" max="47" width="7" style="1" customWidth="1"/>
    <col min="48" max="48" width="9" style="1" customWidth="1"/>
    <col min="49" max="49" width="15.59765625" style="1" hidden="1" customWidth="1"/>
    <col min="50" max="50" width="15" style="1" customWidth="1"/>
    <col min="51" max="51" width="9" style="1" customWidth="1"/>
    <col min="52" max="52" width="17" style="1" hidden="1" customWidth="1"/>
    <col min="53" max="53" width="21.3984375" style="1" bestFit="1" customWidth="1"/>
    <col min="54" max="54" width="15.59765625" style="1" hidden="1" customWidth="1"/>
    <col min="55" max="55" width="9" style="1" customWidth="1"/>
    <col min="56" max="56" width="15.59765625" style="1" hidden="1" customWidth="1"/>
    <col min="57" max="57" width="9" style="1" customWidth="1"/>
    <col min="58" max="58" width="15.59765625" style="1" hidden="1" customWidth="1"/>
    <col min="59" max="59" width="11" style="1" customWidth="1"/>
    <col min="60" max="60" width="15.59765625" style="1" hidden="1" customWidth="1"/>
    <col min="61" max="61" width="13" style="1" customWidth="1"/>
    <col min="62" max="62" width="15.59765625" style="1" hidden="1" customWidth="1"/>
    <col min="63" max="63" width="9" style="1" customWidth="1"/>
    <col min="64" max="64" width="15.59765625" style="2" hidden="1" customWidth="1"/>
    <col min="65" max="65" width="9" style="1" customWidth="1"/>
    <col min="66" max="66" width="15.59765625" style="1" hidden="1" customWidth="1"/>
    <col min="67" max="67" width="9.3984375" style="1" customWidth="1"/>
    <col min="68" max="68" width="17" style="1" customWidth="1"/>
    <col min="69" max="69" width="17" style="1" hidden="1" customWidth="1"/>
    <col min="70" max="70" width="21.59765625" style="1" customWidth="1"/>
    <col min="71" max="71" width="17.3984375" style="1" customWidth="1"/>
    <col min="72" max="73" width="14" style="2" hidden="1" customWidth="1"/>
    <col min="74" max="74" width="14.19921875" style="2" bestFit="1" customWidth="1"/>
    <col min="75" max="75" width="14.19921875" style="2" hidden="1" customWidth="1"/>
    <col min="76" max="76" width="14" style="2" hidden="1" customWidth="1"/>
    <col min="77" max="77" width="15.796875" style="2" bestFit="1" customWidth="1"/>
    <col min="78" max="16384" width="9" style="1"/>
  </cols>
  <sheetData>
    <row r="1" spans="1:77" ht="45" customHeight="1" x14ac:dyDescent="0.15"/>
    <row r="2" spans="1:77" s="7" customFormat="1" ht="70" customHeight="1" thickBot="1" x14ac:dyDescent="0.2">
      <c r="E2" s="21"/>
      <c r="F2" s="270" t="s">
        <v>54</v>
      </c>
      <c r="G2" s="270"/>
      <c r="H2" s="270"/>
      <c r="I2" s="270"/>
      <c r="J2" s="270"/>
      <c r="K2" s="270"/>
      <c r="L2" s="270"/>
      <c r="N2" s="20"/>
      <c r="O2" s="275" t="s">
        <v>72</v>
      </c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1"/>
      <c r="AB2" s="269" t="s">
        <v>41</v>
      </c>
      <c r="AC2" s="269"/>
      <c r="AD2" s="269"/>
      <c r="AE2" s="269"/>
      <c r="AF2" s="269"/>
      <c r="AG2" s="269"/>
      <c r="AH2" s="269"/>
      <c r="AI2" s="269"/>
      <c r="AJ2" s="269"/>
      <c r="AM2" s="269" t="s">
        <v>42</v>
      </c>
      <c r="AN2" s="269"/>
      <c r="AO2" s="269"/>
      <c r="AP2" s="269"/>
      <c r="AQ2" s="269"/>
      <c r="AR2" s="269"/>
      <c r="AS2" s="269"/>
      <c r="AT2" s="269"/>
      <c r="AU2" s="269"/>
      <c r="AV2" s="269"/>
      <c r="AW2" s="269"/>
      <c r="AX2" s="269"/>
      <c r="BA2" s="269" t="s">
        <v>43</v>
      </c>
      <c r="BB2" s="269"/>
      <c r="BC2" s="269"/>
      <c r="BD2" s="269"/>
      <c r="BE2" s="269"/>
      <c r="BF2" s="269"/>
      <c r="BG2" s="269"/>
      <c r="BH2" s="269"/>
      <c r="BI2" s="269"/>
      <c r="BJ2" s="269"/>
      <c r="BK2" s="269"/>
      <c r="BL2" s="269"/>
      <c r="BM2" s="269"/>
      <c r="BN2" s="269"/>
      <c r="BO2" s="269"/>
      <c r="BR2" s="270" t="s">
        <v>53</v>
      </c>
      <c r="BS2" s="270"/>
      <c r="BT2" s="270"/>
      <c r="BU2" s="270"/>
      <c r="BV2" s="270"/>
      <c r="BW2" s="270"/>
      <c r="BX2" s="270"/>
      <c r="BY2" s="270"/>
    </row>
    <row r="3" spans="1:77" s="18" customFormat="1" ht="63" customHeight="1" thickBot="1" x14ac:dyDescent="0.25">
      <c r="A3" s="38" t="s">
        <v>78</v>
      </c>
      <c r="B3" s="39" t="s">
        <v>24</v>
      </c>
      <c r="C3" s="38" t="s">
        <v>79</v>
      </c>
      <c r="D3" s="38" t="s">
        <v>80</v>
      </c>
      <c r="E3" s="19"/>
      <c r="F3" s="243" t="s">
        <v>45</v>
      </c>
      <c r="G3" s="244" t="s">
        <v>0</v>
      </c>
      <c r="H3" s="245" t="s">
        <v>46</v>
      </c>
      <c r="I3" s="244" t="s">
        <v>0</v>
      </c>
      <c r="J3" s="245" t="s">
        <v>47</v>
      </c>
      <c r="K3" s="244" t="s">
        <v>0</v>
      </c>
      <c r="L3" s="246" t="s">
        <v>48</v>
      </c>
      <c r="N3" s="19"/>
      <c r="O3" s="226" t="s">
        <v>45</v>
      </c>
      <c r="P3" s="228" t="s">
        <v>0</v>
      </c>
      <c r="Q3" s="229" t="s">
        <v>59</v>
      </c>
      <c r="R3" s="227" t="s">
        <v>0</v>
      </c>
      <c r="S3" s="230" t="s">
        <v>49</v>
      </c>
      <c r="T3" s="227" t="s">
        <v>0</v>
      </c>
      <c r="U3" s="231" t="s">
        <v>60</v>
      </c>
      <c r="V3" s="227" t="s">
        <v>0</v>
      </c>
      <c r="W3" s="231" t="s">
        <v>61</v>
      </c>
      <c r="X3" s="227" t="s">
        <v>0</v>
      </c>
      <c r="Y3" s="232" t="s">
        <v>62</v>
      </c>
      <c r="Z3" s="19"/>
      <c r="AB3" s="238" t="s">
        <v>45</v>
      </c>
      <c r="AC3" s="17" t="s">
        <v>0</v>
      </c>
      <c r="AD3" s="239" t="s">
        <v>63</v>
      </c>
      <c r="AE3" s="17" t="s">
        <v>0</v>
      </c>
      <c r="AF3" s="240" t="s">
        <v>64</v>
      </c>
      <c r="AG3" s="17" t="s">
        <v>0</v>
      </c>
      <c r="AH3" s="241" t="s">
        <v>73</v>
      </c>
      <c r="AI3" s="17" t="s">
        <v>0</v>
      </c>
      <c r="AJ3" s="242" t="s">
        <v>65</v>
      </c>
      <c r="AM3" s="247" t="s">
        <v>45</v>
      </c>
      <c r="AN3" s="248" t="s">
        <v>0</v>
      </c>
      <c r="AO3" s="249" t="s">
        <v>74</v>
      </c>
      <c r="AP3" s="250" t="s">
        <v>0</v>
      </c>
      <c r="AQ3" s="251" t="s">
        <v>66</v>
      </c>
      <c r="AR3" s="250" t="s">
        <v>0</v>
      </c>
      <c r="AS3" s="252" t="s">
        <v>67</v>
      </c>
      <c r="AT3" s="250" t="s">
        <v>0</v>
      </c>
      <c r="AU3" s="271" t="s">
        <v>68</v>
      </c>
      <c r="AV3" s="272"/>
      <c r="AW3" s="250" t="s">
        <v>0</v>
      </c>
      <c r="AX3" s="253" t="s">
        <v>50</v>
      </c>
      <c r="BA3" s="254" t="s">
        <v>45</v>
      </c>
      <c r="BB3" s="255" t="s">
        <v>0</v>
      </c>
      <c r="BC3" s="256" t="s">
        <v>51</v>
      </c>
      <c r="BD3" s="257" t="s">
        <v>0</v>
      </c>
      <c r="BE3" s="256" t="s">
        <v>52</v>
      </c>
      <c r="BF3" s="257" t="s">
        <v>0</v>
      </c>
      <c r="BG3" s="256" t="s">
        <v>77</v>
      </c>
      <c r="BH3" s="257" t="s">
        <v>0</v>
      </c>
      <c r="BI3" s="258" t="s">
        <v>44</v>
      </c>
      <c r="BJ3" s="257" t="s">
        <v>0</v>
      </c>
      <c r="BK3" s="259" t="s">
        <v>69</v>
      </c>
      <c r="BL3" s="257" t="s">
        <v>0</v>
      </c>
      <c r="BM3" s="259" t="s">
        <v>70</v>
      </c>
      <c r="BN3" s="257" t="s">
        <v>0</v>
      </c>
      <c r="BO3" s="260" t="s">
        <v>71</v>
      </c>
      <c r="BR3" s="233" t="s">
        <v>45</v>
      </c>
      <c r="BS3" s="234" t="s">
        <v>34</v>
      </c>
      <c r="BT3" s="235" t="s">
        <v>0</v>
      </c>
      <c r="BU3" s="235" t="s">
        <v>23</v>
      </c>
      <c r="BV3" s="236" t="s">
        <v>21</v>
      </c>
      <c r="BW3" s="235" t="s">
        <v>0</v>
      </c>
      <c r="BX3" s="235" t="s">
        <v>23</v>
      </c>
      <c r="BY3" s="237" t="s">
        <v>22</v>
      </c>
    </row>
    <row r="4" spans="1:77" s="3" customFormat="1" ht="21" hidden="1" thickBot="1" x14ac:dyDescent="0.2">
      <c r="E4" s="4"/>
      <c r="F4" s="33" t="s">
        <v>25</v>
      </c>
      <c r="G4" s="34"/>
      <c r="H4" s="35">
        <v>110</v>
      </c>
      <c r="I4" s="36"/>
      <c r="J4" s="35">
        <v>125</v>
      </c>
      <c r="K4" s="36"/>
      <c r="L4" s="37">
        <v>135</v>
      </c>
      <c r="N4" s="4"/>
      <c r="O4" s="47" t="s">
        <v>25</v>
      </c>
      <c r="P4" s="48"/>
      <c r="Q4" s="49">
        <v>125</v>
      </c>
      <c r="R4" s="50"/>
      <c r="S4" s="51">
        <v>0.17</v>
      </c>
      <c r="T4" s="50"/>
      <c r="U4" s="52">
        <v>50</v>
      </c>
      <c r="V4" s="50"/>
      <c r="W4" s="51">
        <v>0.7</v>
      </c>
      <c r="X4" s="53"/>
      <c r="Y4" s="54">
        <v>82</v>
      </c>
      <c r="Z4" s="4"/>
      <c r="AB4" s="55" t="s">
        <v>25</v>
      </c>
      <c r="AC4" s="8"/>
      <c r="AD4" s="56">
        <v>0.85</v>
      </c>
      <c r="AE4" s="9"/>
      <c r="AF4" s="56">
        <v>0.8</v>
      </c>
      <c r="AG4" s="10"/>
      <c r="AH4" s="57" t="s">
        <v>26</v>
      </c>
      <c r="AI4" s="9"/>
      <c r="AJ4" s="58">
        <v>2</v>
      </c>
      <c r="AM4" s="62" t="s">
        <v>25</v>
      </c>
      <c r="AN4" s="28"/>
      <c r="AO4" s="28"/>
      <c r="AP4" s="11"/>
      <c r="AQ4" s="63" t="s">
        <v>38</v>
      </c>
      <c r="AR4" s="12"/>
      <c r="AS4" s="63" t="s">
        <v>38</v>
      </c>
      <c r="AT4" s="13"/>
      <c r="AU4" s="273" t="s">
        <v>39</v>
      </c>
      <c r="AV4" s="274"/>
      <c r="AW4" s="13"/>
      <c r="AX4" s="64" t="s">
        <v>27</v>
      </c>
      <c r="BA4" s="69" t="s">
        <v>25</v>
      </c>
      <c r="BB4" s="14"/>
      <c r="BC4" s="70" t="s">
        <v>32</v>
      </c>
      <c r="BD4" s="15"/>
      <c r="BE4" s="70" t="s">
        <v>32</v>
      </c>
      <c r="BF4" s="15"/>
      <c r="BG4" s="71">
        <v>1</v>
      </c>
      <c r="BH4" s="15"/>
      <c r="BI4" s="72" t="s">
        <v>32</v>
      </c>
      <c r="BJ4" s="15"/>
      <c r="BK4" s="70"/>
      <c r="BL4" s="15"/>
      <c r="BM4" s="73"/>
      <c r="BN4" s="15"/>
      <c r="BO4" s="74"/>
      <c r="BR4" s="33" t="s">
        <v>25</v>
      </c>
      <c r="BS4" s="78"/>
      <c r="BT4" s="79"/>
      <c r="BU4" s="79"/>
      <c r="BV4" s="80"/>
      <c r="BW4" s="79"/>
      <c r="BX4" s="79"/>
      <c r="BY4" s="81"/>
    </row>
    <row r="5" spans="1:77" s="16" customFormat="1" ht="18" customHeight="1" x14ac:dyDescent="0.2">
      <c r="A5" s="40">
        <v>1</v>
      </c>
      <c r="B5" s="41" t="s">
        <v>81</v>
      </c>
      <c r="C5" s="40" t="s">
        <v>82</v>
      </c>
      <c r="D5" s="40" t="s">
        <v>83</v>
      </c>
      <c r="E5" s="86"/>
      <c r="F5" s="82" t="s">
        <v>1</v>
      </c>
      <c r="G5" s="83">
        <v>125</v>
      </c>
      <c r="H5" s="84">
        <f>FLOOR(SUM(G5-(G5*0.005)),5)</f>
        <v>120</v>
      </c>
      <c r="I5" s="84">
        <v>147</v>
      </c>
      <c r="J5" s="84">
        <f>FLOOR(SUM(I5-(I5*0.02)),5)</f>
        <v>140</v>
      </c>
      <c r="K5" s="84">
        <v>174</v>
      </c>
      <c r="L5" s="85">
        <f>FLOOR(SUM(K5-(K5*0.07)),5)</f>
        <v>160</v>
      </c>
      <c r="N5" s="86"/>
      <c r="O5" s="87" t="str">
        <f>$F$5</f>
        <v>3708</v>
      </c>
      <c r="P5" s="88">
        <v>145.848555835886</v>
      </c>
      <c r="Q5" s="84">
        <f>FLOOR(SUM(P5-(P5*0.025)),5)</f>
        <v>140</v>
      </c>
      <c r="R5" s="89">
        <v>9.4948090080217998E-2</v>
      </c>
      <c r="S5" s="89">
        <v>0.15</v>
      </c>
      <c r="T5" s="84">
        <v>52.107109619423397</v>
      </c>
      <c r="U5" s="84">
        <f t="shared" ref="U5:U20" si="0">FLOOR(SUM(T5-(T5*0.05)),5)</f>
        <v>45</v>
      </c>
      <c r="V5" s="89">
        <v>0.184326171875</v>
      </c>
      <c r="W5" s="89">
        <v>0.7</v>
      </c>
      <c r="X5" s="84">
        <v>103.900667023398</v>
      </c>
      <c r="Y5" s="85">
        <v>95</v>
      </c>
      <c r="Z5" s="86"/>
      <c r="AB5" s="87" t="str">
        <f>$F$5</f>
        <v>3708</v>
      </c>
      <c r="AC5" s="90">
        <v>0.79700000000000004</v>
      </c>
      <c r="AD5" s="91">
        <v>0.82</v>
      </c>
      <c r="AE5" s="91">
        <v>0.73720136518799995</v>
      </c>
      <c r="AF5" s="91">
        <v>0.75</v>
      </c>
      <c r="AG5" s="91">
        <v>6.9000000000000006E-2</v>
      </c>
      <c r="AH5" s="91">
        <v>0.04</v>
      </c>
      <c r="AI5" s="92">
        <v>6.7</v>
      </c>
      <c r="AJ5" s="85">
        <v>6</v>
      </c>
      <c r="AM5" s="87" t="str">
        <f>$F$5</f>
        <v>3708</v>
      </c>
      <c r="AN5" s="93">
        <v>0.22250816390948899</v>
      </c>
      <c r="AO5" s="93">
        <f>AN5+0.05</f>
        <v>0.27250816390948901</v>
      </c>
      <c r="AP5" s="94">
        <v>241</v>
      </c>
      <c r="AQ5" s="84">
        <f t="shared" ref="AQ5:AQ6" si="1">AP5*1.1</f>
        <v>265.10000000000002</v>
      </c>
      <c r="AR5" s="84">
        <v>55.771978021978022</v>
      </c>
      <c r="AS5" s="84">
        <f>AR5*1.1</f>
        <v>61.34917582417583</v>
      </c>
      <c r="AT5" s="95">
        <v>2.7314814814814814E-3</v>
      </c>
      <c r="AU5" s="96" t="s">
        <v>40</v>
      </c>
      <c r="AV5" s="97">
        <v>2.0833333333333333E-3</v>
      </c>
      <c r="AW5" s="98">
        <v>4.2030282174810703</v>
      </c>
      <c r="AX5" s="99" t="s">
        <v>27</v>
      </c>
      <c r="BA5" s="87" t="str">
        <f>$F$5</f>
        <v>3708</v>
      </c>
      <c r="BB5" s="94">
        <v>50</v>
      </c>
      <c r="BC5" s="84">
        <f>(BI5-BG5)+1</f>
        <v>58</v>
      </c>
      <c r="BD5" s="84">
        <v>9</v>
      </c>
      <c r="BE5" s="84">
        <f>BC5*0.15</f>
        <v>8.6999999999999993</v>
      </c>
      <c r="BF5" s="84">
        <v>1</v>
      </c>
      <c r="BG5" s="84">
        <v>11</v>
      </c>
      <c r="BH5" s="84">
        <f t="shared" ref="BH5:BH30" si="2">BB5+BD5+BF5</f>
        <v>60</v>
      </c>
      <c r="BI5" s="84">
        <v>68</v>
      </c>
      <c r="BJ5" s="89">
        <v>0.44440000000000002</v>
      </c>
      <c r="BK5" s="100">
        <f>BJ5-0.1</f>
        <v>0.34440000000000004</v>
      </c>
      <c r="BL5" s="89">
        <v>0.38890000000000002</v>
      </c>
      <c r="BM5" s="100">
        <f>BL5-0.1</f>
        <v>0.28890000000000005</v>
      </c>
      <c r="BN5" s="89">
        <v>2.7037</v>
      </c>
      <c r="BO5" s="101">
        <f>BN5-0.1</f>
        <v>2.6036999999999999</v>
      </c>
      <c r="BR5" s="87" t="str">
        <f>$F$5</f>
        <v>3708</v>
      </c>
      <c r="BS5" s="102">
        <v>5.6</v>
      </c>
      <c r="BT5" s="89">
        <v>0.23074732969241901</v>
      </c>
      <c r="BU5" s="89">
        <v>0.220306924341508</v>
      </c>
      <c r="BV5" s="89">
        <v>0.22</v>
      </c>
      <c r="BW5" s="89">
        <v>4.2780511247475998E-2</v>
      </c>
      <c r="BX5" s="89">
        <v>4.2239175874320599E-2</v>
      </c>
      <c r="BY5" s="103">
        <v>0.04</v>
      </c>
    </row>
    <row r="6" spans="1:77" s="16" customFormat="1" ht="18" customHeight="1" x14ac:dyDescent="0.2">
      <c r="A6" s="42">
        <v>2</v>
      </c>
      <c r="B6" s="43" t="s">
        <v>81</v>
      </c>
      <c r="C6" s="42" t="s">
        <v>84</v>
      </c>
      <c r="D6" s="42" t="s">
        <v>85</v>
      </c>
      <c r="E6" s="86"/>
      <c r="F6" s="104" t="s">
        <v>2</v>
      </c>
      <c r="G6" s="105">
        <v>116</v>
      </c>
      <c r="H6" s="106">
        <f>FLOOR(SUM(G6-(G6*0.005)),5)</f>
        <v>115</v>
      </c>
      <c r="I6" s="106">
        <v>156</v>
      </c>
      <c r="J6" s="106">
        <f>FLOOR(SUM(I6-(I6*0.02)),5)</f>
        <v>150</v>
      </c>
      <c r="K6" s="106">
        <v>191</v>
      </c>
      <c r="L6" s="107">
        <f>FLOOR(SUM(K6-(K6*0.07)),5)</f>
        <v>175</v>
      </c>
      <c r="N6" s="86"/>
      <c r="O6" s="108" t="str">
        <f>$F$6</f>
        <v>5183</v>
      </c>
      <c r="P6" s="109">
        <v>150.83023610572701</v>
      </c>
      <c r="Q6" s="106">
        <f>FLOOR(SUM(P6-(P6*0.025)),5)</f>
        <v>145</v>
      </c>
      <c r="R6" s="110">
        <v>7.2904989890312494E-2</v>
      </c>
      <c r="S6" s="110">
        <v>0.14000000000000001</v>
      </c>
      <c r="T6" s="106">
        <v>65.943243124752598</v>
      </c>
      <c r="U6" s="106">
        <f t="shared" si="0"/>
        <v>60</v>
      </c>
      <c r="V6" s="110">
        <v>0.97235607405528701</v>
      </c>
      <c r="W6" s="110">
        <v>0.98</v>
      </c>
      <c r="X6" s="106">
        <v>92.276679934253707</v>
      </c>
      <c r="Y6" s="107">
        <v>85</v>
      </c>
      <c r="Z6" s="86"/>
      <c r="AB6" s="108" t="str">
        <f>$F$6</f>
        <v>5183</v>
      </c>
      <c r="AC6" s="111">
        <v>0.89</v>
      </c>
      <c r="AD6" s="112">
        <v>0.9</v>
      </c>
      <c r="AE6" s="112">
        <v>0.85714285714299998</v>
      </c>
      <c r="AF6" s="112">
        <v>0.87</v>
      </c>
      <c r="AG6" s="112">
        <v>1.7999999999999999E-2</v>
      </c>
      <c r="AH6" s="112">
        <v>1.4999999999999999E-2</v>
      </c>
      <c r="AI6" s="113">
        <v>3.5</v>
      </c>
      <c r="AJ6" s="107">
        <v>3</v>
      </c>
      <c r="AM6" s="108" t="str">
        <f>$F$6</f>
        <v>5183</v>
      </c>
      <c r="AN6" s="114">
        <v>0.27917624843775202</v>
      </c>
      <c r="AO6" s="114">
        <f>AN6+0.05</f>
        <v>0.32917624843775201</v>
      </c>
      <c r="AP6" s="115">
        <v>481</v>
      </c>
      <c r="AQ6" s="106">
        <f t="shared" si="1"/>
        <v>529.1</v>
      </c>
      <c r="AR6" s="106">
        <v>80.758241758241752</v>
      </c>
      <c r="AS6" s="106">
        <f>AR6*1.1</f>
        <v>88.834065934065933</v>
      </c>
      <c r="AT6" s="116">
        <v>2.2800925925925927E-3</v>
      </c>
      <c r="AU6" s="117" t="s">
        <v>40</v>
      </c>
      <c r="AV6" s="118">
        <v>2.0833333333333333E-3</v>
      </c>
      <c r="AW6" s="119">
        <v>4.4493996569468202</v>
      </c>
      <c r="AX6" s="120" t="s">
        <v>27</v>
      </c>
      <c r="BA6" s="108" t="str">
        <f>$F$6</f>
        <v>5183</v>
      </c>
      <c r="BB6" s="115">
        <v>57</v>
      </c>
      <c r="BC6" s="106">
        <f>(BI6-BG6)+1</f>
        <v>54</v>
      </c>
      <c r="BD6" s="106">
        <v>9</v>
      </c>
      <c r="BE6" s="106">
        <f>BC6*0.15</f>
        <v>8.1</v>
      </c>
      <c r="BF6" s="106">
        <v>3</v>
      </c>
      <c r="BG6" s="106">
        <v>13</v>
      </c>
      <c r="BH6" s="106">
        <f t="shared" si="2"/>
        <v>69</v>
      </c>
      <c r="BI6" s="106">
        <v>66</v>
      </c>
      <c r="BJ6" s="110">
        <v>0.44440000000000002</v>
      </c>
      <c r="BK6" s="121">
        <f>BJ6-0.1</f>
        <v>0.34440000000000004</v>
      </c>
      <c r="BL6" s="110">
        <v>0.66669999999999996</v>
      </c>
      <c r="BM6" s="121">
        <f>BL6-0.1</f>
        <v>0.56669999999999998</v>
      </c>
      <c r="BN6" s="110">
        <v>1.7119</v>
      </c>
      <c r="BO6" s="122">
        <f>BN6-0.1</f>
        <v>1.6118999999999999</v>
      </c>
      <c r="BR6" s="108" t="str">
        <f>$F$6</f>
        <v>5183</v>
      </c>
      <c r="BS6" s="123">
        <v>5.4</v>
      </c>
      <c r="BT6" s="110">
        <v>0.22169407389201701</v>
      </c>
      <c r="BU6" s="110">
        <v>0.21996716499468799</v>
      </c>
      <c r="BV6" s="110">
        <v>0.21249999999999999</v>
      </c>
      <c r="BW6" s="110">
        <v>4.1411182546953799E-2</v>
      </c>
      <c r="BX6" s="110">
        <v>4.2663951781947401E-2</v>
      </c>
      <c r="BY6" s="124">
        <v>4.1000000000000002E-2</v>
      </c>
    </row>
    <row r="7" spans="1:77" s="16" customFormat="1" ht="18" customHeight="1" x14ac:dyDescent="0.2">
      <c r="A7" s="40">
        <v>3</v>
      </c>
      <c r="B7" s="41" t="s">
        <v>81</v>
      </c>
      <c r="C7" s="40" t="s">
        <v>86</v>
      </c>
      <c r="D7" s="40" t="s">
        <v>87</v>
      </c>
      <c r="E7" s="86"/>
      <c r="F7" s="104" t="s">
        <v>3</v>
      </c>
      <c r="G7" s="105">
        <v>99</v>
      </c>
      <c r="H7" s="106">
        <f t="shared" ref="H7:H30" si="3">FLOOR(SUM(G7-(G7*0.005)),5)</f>
        <v>95</v>
      </c>
      <c r="I7" s="106">
        <v>124</v>
      </c>
      <c r="J7" s="106">
        <f t="shared" ref="J7:J30" si="4">FLOOR(SUM(I7-(I7*0.02)),5)</f>
        <v>120</v>
      </c>
      <c r="K7" s="106">
        <v>133</v>
      </c>
      <c r="L7" s="107">
        <f t="shared" ref="L7:L30" si="5">FLOOR(SUM(K7-(K7*0.07)),5)</f>
        <v>120</v>
      </c>
      <c r="N7" s="86"/>
      <c r="O7" s="108" t="str">
        <f>$F$7</f>
        <v>5985</v>
      </c>
      <c r="P7" s="109">
        <v>118.43744164242899</v>
      </c>
      <c r="Q7" s="106">
        <f t="shared" ref="Q7:Q30" si="6">FLOOR(SUM(P7-(P7*0.025)),5)</f>
        <v>115</v>
      </c>
      <c r="R7" s="110">
        <v>0.13950398792945501</v>
      </c>
      <c r="S7" s="110">
        <v>0.16</v>
      </c>
      <c r="T7" s="106">
        <v>49.282275943518499</v>
      </c>
      <c r="U7" s="106">
        <f t="shared" si="0"/>
        <v>45</v>
      </c>
      <c r="V7" s="110">
        <v>0.97393761775172705</v>
      </c>
      <c r="W7" s="110">
        <v>0.98</v>
      </c>
      <c r="X7" s="106">
        <v>89.183551870778302</v>
      </c>
      <c r="Y7" s="107">
        <v>85</v>
      </c>
      <c r="Z7" s="86"/>
      <c r="AB7" s="108" t="str">
        <f>$F$7</f>
        <v>5985</v>
      </c>
      <c r="AC7" s="111">
        <v>0.84199999999999997</v>
      </c>
      <c r="AD7" s="112">
        <v>0.85</v>
      </c>
      <c r="AE7" s="112">
        <v>0.69102296450900003</v>
      </c>
      <c r="AF7" s="112">
        <v>0.7</v>
      </c>
      <c r="AG7" s="112">
        <v>4.2000000000000003E-2</v>
      </c>
      <c r="AH7" s="112">
        <v>3.5000000000000003E-2</v>
      </c>
      <c r="AI7" s="113">
        <v>9.9</v>
      </c>
      <c r="AJ7" s="107">
        <v>10</v>
      </c>
      <c r="AM7" s="108" t="str">
        <f>$F$7</f>
        <v>5985</v>
      </c>
      <c r="AN7" s="114">
        <v>0.27482176666622099</v>
      </c>
      <c r="AO7" s="114">
        <f>AN7+0.05</f>
        <v>0.32482176666622098</v>
      </c>
      <c r="AP7" s="143">
        <v>561</v>
      </c>
      <c r="AQ7" s="106">
        <f>AP7*1.1</f>
        <v>617.1</v>
      </c>
      <c r="AR7" s="106">
        <v>130.54395604395606</v>
      </c>
      <c r="AS7" s="106">
        <f t="shared" ref="AS7:AS31" si="7">AR7*1.1</f>
        <v>143.59835164835167</v>
      </c>
      <c r="AT7" s="116">
        <v>2.3842592592592591E-3</v>
      </c>
      <c r="AU7" s="117" t="s">
        <v>40</v>
      </c>
      <c r="AV7" s="118">
        <v>2.0833333333333333E-3</v>
      </c>
      <c r="AW7" s="119">
        <v>4.4178082191780801</v>
      </c>
      <c r="AX7" s="120" t="s">
        <v>27</v>
      </c>
      <c r="BA7" s="108" t="str">
        <f>$F$7</f>
        <v>5985</v>
      </c>
      <c r="BB7" s="115">
        <v>85</v>
      </c>
      <c r="BC7" s="106">
        <f t="shared" ref="BC7:BC31" si="8">(BI7-BG7)+1</f>
        <v>83</v>
      </c>
      <c r="BD7" s="106">
        <v>11</v>
      </c>
      <c r="BE7" s="106">
        <f t="shared" ref="BE7:BE31" si="9">BC7*0.15</f>
        <v>12.45</v>
      </c>
      <c r="BF7" s="106">
        <v>1</v>
      </c>
      <c r="BG7" s="106">
        <v>13</v>
      </c>
      <c r="BH7" s="106">
        <f t="shared" si="2"/>
        <v>97</v>
      </c>
      <c r="BI7" s="106">
        <v>95</v>
      </c>
      <c r="BJ7" s="110">
        <v>9.0899999999999995E-2</v>
      </c>
      <c r="BK7" s="121">
        <v>0.05</v>
      </c>
      <c r="BL7" s="110">
        <v>0.4</v>
      </c>
      <c r="BM7" s="121">
        <f t="shared" ref="BM7:BM30" si="10">BL7-0.1</f>
        <v>0.30000000000000004</v>
      </c>
      <c r="BN7" s="110">
        <v>1.383</v>
      </c>
      <c r="BO7" s="122">
        <f t="shared" ref="BO7:BO30" si="11">BN7-0.1</f>
        <v>1.2829999999999999</v>
      </c>
      <c r="BR7" s="108" t="str">
        <f>$F$7</f>
        <v>5985</v>
      </c>
      <c r="BS7" s="123">
        <v>6.1</v>
      </c>
      <c r="BT7" s="110">
        <v>0.20068194806686299</v>
      </c>
      <c r="BU7" s="110">
        <v>0.201927544942443</v>
      </c>
      <c r="BV7" s="110">
        <v>0.19500000000000001</v>
      </c>
      <c r="BW7" s="110">
        <v>3.7581759097876297E-2</v>
      </c>
      <c r="BX7" s="110">
        <v>4.0181942525486597E-2</v>
      </c>
      <c r="BY7" s="124">
        <v>3.7999999999999999E-2</v>
      </c>
    </row>
    <row r="8" spans="1:77" s="16" customFormat="1" ht="18" customHeight="1" x14ac:dyDescent="0.2">
      <c r="A8" s="42">
        <v>21</v>
      </c>
      <c r="B8" s="43" t="s">
        <v>88</v>
      </c>
      <c r="C8" s="42" t="s">
        <v>89</v>
      </c>
      <c r="D8" s="42" t="s">
        <v>90</v>
      </c>
      <c r="E8" s="86"/>
      <c r="F8" s="104">
        <v>6178</v>
      </c>
      <c r="G8" s="105"/>
      <c r="H8" s="106">
        <v>160</v>
      </c>
      <c r="I8" s="106"/>
      <c r="J8" s="106">
        <v>200</v>
      </c>
      <c r="K8" s="106"/>
      <c r="L8" s="107">
        <v>190</v>
      </c>
      <c r="N8" s="86"/>
      <c r="O8" s="108">
        <f>$F$8</f>
        <v>6178</v>
      </c>
      <c r="P8" s="109"/>
      <c r="Q8" s="106">
        <v>190</v>
      </c>
      <c r="R8" s="110"/>
      <c r="S8" s="110">
        <v>0.12</v>
      </c>
      <c r="T8" s="106"/>
      <c r="U8" s="106">
        <v>75</v>
      </c>
      <c r="V8" s="110"/>
      <c r="W8" s="110">
        <v>0.75</v>
      </c>
      <c r="X8" s="106"/>
      <c r="Y8" s="107">
        <v>90</v>
      </c>
      <c r="Z8" s="86"/>
      <c r="AB8" s="108">
        <f>$F$8</f>
        <v>6178</v>
      </c>
      <c r="AC8" s="111"/>
      <c r="AD8" s="112">
        <v>0.7</v>
      </c>
      <c r="AE8" s="112"/>
      <c r="AF8" s="112">
        <v>0.73</v>
      </c>
      <c r="AG8" s="112"/>
      <c r="AH8" s="112">
        <v>8.5000000000000006E-2</v>
      </c>
      <c r="AI8" s="113">
        <v>13.6</v>
      </c>
      <c r="AJ8" s="107">
        <v>12</v>
      </c>
      <c r="AM8" s="108">
        <f>$F$8</f>
        <v>6178</v>
      </c>
      <c r="AN8" s="114">
        <v>0.247</v>
      </c>
      <c r="AO8" s="114">
        <f>AN8+0.05</f>
        <v>0.29699999999999999</v>
      </c>
      <c r="AP8" s="115">
        <v>294</v>
      </c>
      <c r="AQ8" s="106">
        <f t="shared" ref="AQ8:AQ31" si="12">AP8*1.1</f>
        <v>323.40000000000003</v>
      </c>
      <c r="AR8" s="106">
        <v>17.8</v>
      </c>
      <c r="AS8" s="106">
        <f t="shared" si="7"/>
        <v>19.580000000000002</v>
      </c>
      <c r="AT8" s="116"/>
      <c r="AU8" s="117" t="s">
        <v>40</v>
      </c>
      <c r="AV8" s="118">
        <v>2.4305555555555556E-3</v>
      </c>
      <c r="AW8" s="119"/>
      <c r="AX8" s="120" t="s">
        <v>27</v>
      </c>
      <c r="BA8" s="108">
        <f>$F$8</f>
        <v>6178</v>
      </c>
      <c r="BB8" s="115"/>
      <c r="BC8" s="106">
        <f t="shared" ref="BC8:BC11" si="13">(BI8-BG8)+1</f>
        <v>55</v>
      </c>
      <c r="BD8" s="106">
        <v>12</v>
      </c>
      <c r="BE8" s="106">
        <f t="shared" ref="BE8:BE11" si="14">BC8*0.15</f>
        <v>8.25</v>
      </c>
      <c r="BF8" s="106"/>
      <c r="BG8" s="106">
        <v>6</v>
      </c>
      <c r="BH8" s="106"/>
      <c r="BI8" s="106">
        <v>60</v>
      </c>
      <c r="BJ8" s="110"/>
      <c r="BK8" s="121">
        <v>0.4</v>
      </c>
      <c r="BL8" s="110"/>
      <c r="BM8" s="121">
        <v>1</v>
      </c>
      <c r="BN8" s="110"/>
      <c r="BO8" s="122">
        <v>0.62749999999999995</v>
      </c>
      <c r="BR8" s="108">
        <f>$F$8</f>
        <v>6178</v>
      </c>
      <c r="BS8" s="123">
        <v>6.1</v>
      </c>
      <c r="BT8" s="110"/>
      <c r="BU8" s="110"/>
      <c r="BV8" s="110">
        <v>0.23</v>
      </c>
      <c r="BW8" s="110"/>
      <c r="BX8" s="110"/>
      <c r="BY8" s="124">
        <v>0.04</v>
      </c>
    </row>
    <row r="9" spans="1:77" s="16" customFormat="1" ht="18" customHeight="1" x14ac:dyDescent="0.2">
      <c r="A9" s="40">
        <v>22</v>
      </c>
      <c r="B9" s="41" t="s">
        <v>88</v>
      </c>
      <c r="C9" s="40" t="s">
        <v>89</v>
      </c>
      <c r="D9" s="40" t="s">
        <v>90</v>
      </c>
      <c r="E9" s="86"/>
      <c r="F9" s="104">
        <v>6838</v>
      </c>
      <c r="G9" s="105"/>
      <c r="H9" s="106">
        <v>150</v>
      </c>
      <c r="I9" s="106"/>
      <c r="J9" s="106">
        <v>180</v>
      </c>
      <c r="K9" s="106"/>
      <c r="L9" s="107">
        <v>200</v>
      </c>
      <c r="N9" s="86"/>
      <c r="O9" s="108">
        <f>$F$9</f>
        <v>6838</v>
      </c>
      <c r="P9" s="109"/>
      <c r="Q9" s="106">
        <v>180</v>
      </c>
      <c r="R9" s="110"/>
      <c r="S9" s="110">
        <v>0.15</v>
      </c>
      <c r="T9" s="106"/>
      <c r="U9" s="106">
        <v>60</v>
      </c>
      <c r="V9" s="110"/>
      <c r="W9" s="110">
        <v>0.6</v>
      </c>
      <c r="X9" s="106"/>
      <c r="Y9" s="107">
        <v>95</v>
      </c>
      <c r="Z9" s="86"/>
      <c r="AB9" s="108">
        <f>$F$9</f>
        <v>6838</v>
      </c>
      <c r="AC9" s="111"/>
      <c r="AD9" s="112">
        <v>0.7</v>
      </c>
      <c r="AE9" s="112"/>
      <c r="AF9" s="112">
        <v>0.73</v>
      </c>
      <c r="AG9" s="112"/>
      <c r="AH9" s="112">
        <v>8.5000000000000006E-2</v>
      </c>
      <c r="AI9" s="113">
        <v>16.7</v>
      </c>
      <c r="AJ9" s="107">
        <v>14</v>
      </c>
      <c r="AM9" s="108">
        <f>$F$9</f>
        <v>6838</v>
      </c>
      <c r="AN9" s="114">
        <v>0.21709999999999999</v>
      </c>
      <c r="AO9" s="114">
        <f>AN9+0.05</f>
        <v>0.2671</v>
      </c>
      <c r="AP9" s="115">
        <v>216</v>
      </c>
      <c r="AQ9" s="106">
        <f t="shared" si="12"/>
        <v>237.60000000000002</v>
      </c>
      <c r="AR9" s="106">
        <v>45.2</v>
      </c>
      <c r="AS9" s="106">
        <f t="shared" si="7"/>
        <v>49.720000000000006</v>
      </c>
      <c r="AT9" s="116"/>
      <c r="AU9" s="117" t="s">
        <v>40</v>
      </c>
      <c r="AV9" s="118">
        <v>2.2569444444444442E-3</v>
      </c>
      <c r="AW9" s="119"/>
      <c r="AX9" s="120" t="s">
        <v>27</v>
      </c>
      <c r="BA9" s="108">
        <f>$F$9</f>
        <v>6838</v>
      </c>
      <c r="BB9" s="115"/>
      <c r="BC9" s="106">
        <f t="shared" si="13"/>
        <v>59</v>
      </c>
      <c r="BD9" s="106">
        <v>13</v>
      </c>
      <c r="BE9" s="106">
        <f t="shared" si="14"/>
        <v>8.85</v>
      </c>
      <c r="BF9" s="106"/>
      <c r="BG9" s="106">
        <v>12</v>
      </c>
      <c r="BH9" s="106"/>
      <c r="BI9" s="106">
        <v>70</v>
      </c>
      <c r="BJ9" s="110"/>
      <c r="BK9" s="121">
        <v>0.5</v>
      </c>
      <c r="BL9" s="110"/>
      <c r="BM9" s="121">
        <v>0.25</v>
      </c>
      <c r="BN9" s="110"/>
      <c r="BO9" s="122">
        <v>1.0909</v>
      </c>
      <c r="BR9" s="108">
        <f>$F$9</f>
        <v>6838</v>
      </c>
      <c r="BS9" s="123">
        <v>5</v>
      </c>
      <c r="BT9" s="110"/>
      <c r="BU9" s="110"/>
      <c r="BV9" s="110">
        <v>0.23499999999999999</v>
      </c>
      <c r="BW9" s="110"/>
      <c r="BX9" s="110"/>
      <c r="BY9" s="124">
        <v>0.04</v>
      </c>
    </row>
    <row r="10" spans="1:77" s="16" customFormat="1" ht="18" customHeight="1" x14ac:dyDescent="0.2">
      <c r="A10" s="42">
        <v>4</v>
      </c>
      <c r="B10" s="43" t="s">
        <v>81</v>
      </c>
      <c r="C10" s="42" t="s">
        <v>82</v>
      </c>
      <c r="D10" s="42" t="s">
        <v>83</v>
      </c>
      <c r="E10" s="86"/>
      <c r="F10" s="104" t="s">
        <v>4</v>
      </c>
      <c r="G10" s="105">
        <v>111</v>
      </c>
      <c r="H10" s="106">
        <f t="shared" si="3"/>
        <v>110</v>
      </c>
      <c r="I10" s="106">
        <v>139</v>
      </c>
      <c r="J10" s="106">
        <f t="shared" si="4"/>
        <v>135</v>
      </c>
      <c r="K10" s="106">
        <v>142</v>
      </c>
      <c r="L10" s="107">
        <f t="shared" si="5"/>
        <v>130</v>
      </c>
      <c r="N10" s="86"/>
      <c r="O10" s="108" t="str">
        <f>$F$10</f>
        <v>6972</v>
      </c>
      <c r="P10" s="109">
        <v>131.168509264596</v>
      </c>
      <c r="Q10" s="106">
        <f t="shared" si="6"/>
        <v>125</v>
      </c>
      <c r="R10" s="110">
        <v>0.102553078907335</v>
      </c>
      <c r="S10" s="110">
        <v>0.16</v>
      </c>
      <c r="T10" s="106">
        <v>55.020207907591598</v>
      </c>
      <c r="U10" s="106">
        <f t="shared" si="0"/>
        <v>50</v>
      </c>
      <c r="V10" s="110">
        <v>0.97834958059396904</v>
      </c>
      <c r="W10" s="110">
        <v>0.98</v>
      </c>
      <c r="X10" s="106">
        <v>95.6374282485138</v>
      </c>
      <c r="Y10" s="107">
        <f>FLOOR(SUM(X10-(X10*0.05)),5)</f>
        <v>90</v>
      </c>
      <c r="Z10" s="86"/>
      <c r="AB10" s="108" t="str">
        <f>$F$10</f>
        <v>6972</v>
      </c>
      <c r="AC10" s="111">
        <v>0.79600000000000004</v>
      </c>
      <c r="AD10" s="112">
        <v>0.82</v>
      </c>
      <c r="AE10" s="112">
        <v>0.72173913043500004</v>
      </c>
      <c r="AF10" s="112">
        <v>0.75</v>
      </c>
      <c r="AG10" s="112">
        <v>5.2999999999999999E-2</v>
      </c>
      <c r="AH10" s="112">
        <v>0.04</v>
      </c>
      <c r="AI10" s="113">
        <v>2.1</v>
      </c>
      <c r="AJ10" s="107">
        <v>2</v>
      </c>
      <c r="AM10" s="108" t="str">
        <f>$F$10</f>
        <v>6972</v>
      </c>
      <c r="AN10" s="114">
        <v>0.23414590629243201</v>
      </c>
      <c r="AO10" s="114">
        <f t="shared" ref="AO10:AO31" si="15">AN10+0.05</f>
        <v>0.28414590629243203</v>
      </c>
      <c r="AP10" s="115">
        <v>441</v>
      </c>
      <c r="AQ10" s="106">
        <f t="shared" si="12"/>
        <v>485.1</v>
      </c>
      <c r="AR10" s="106">
        <v>104.04120879120879</v>
      </c>
      <c r="AS10" s="106">
        <f t="shared" si="7"/>
        <v>114.44532967032967</v>
      </c>
      <c r="AT10" s="116">
        <v>2.1180555555555558E-3</v>
      </c>
      <c r="AU10" s="117" t="s">
        <v>40</v>
      </c>
      <c r="AV10" s="118">
        <v>2.0833333333333333E-3</v>
      </c>
      <c r="AW10" s="119">
        <v>4.3508064516129004</v>
      </c>
      <c r="AX10" s="120" t="s">
        <v>27</v>
      </c>
      <c r="BA10" s="108" t="str">
        <f>$F$10</f>
        <v>6972</v>
      </c>
      <c r="BB10" s="115">
        <v>83</v>
      </c>
      <c r="BC10" s="106">
        <f t="shared" si="13"/>
        <v>98</v>
      </c>
      <c r="BD10" s="106">
        <v>14</v>
      </c>
      <c r="BE10" s="106">
        <f t="shared" si="14"/>
        <v>14.7</v>
      </c>
      <c r="BF10" s="106">
        <v>4</v>
      </c>
      <c r="BG10" s="106">
        <v>13</v>
      </c>
      <c r="BH10" s="106">
        <f t="shared" si="2"/>
        <v>101</v>
      </c>
      <c r="BI10" s="106">
        <v>110</v>
      </c>
      <c r="BJ10" s="110">
        <v>0.35289999999999999</v>
      </c>
      <c r="BK10" s="121">
        <f t="shared" ref="BK10:BK30" si="16">BJ10-0.1</f>
        <v>0.25290000000000001</v>
      </c>
      <c r="BL10" s="110">
        <v>0.46150000000000002</v>
      </c>
      <c r="BM10" s="121">
        <f t="shared" si="10"/>
        <v>0.36150000000000004</v>
      </c>
      <c r="BN10" s="110">
        <v>2.5</v>
      </c>
      <c r="BO10" s="122">
        <f t="shared" si="11"/>
        <v>2.4</v>
      </c>
      <c r="BR10" s="108" t="str">
        <f>$F$10</f>
        <v>6972</v>
      </c>
      <c r="BS10" s="123">
        <v>5.5</v>
      </c>
      <c r="BT10" s="110">
        <v>0.20989453931282701</v>
      </c>
      <c r="BU10" s="110">
        <v>0.21671630100641501</v>
      </c>
      <c r="BV10" s="110">
        <v>0.2</v>
      </c>
      <c r="BW10" s="110">
        <v>4.6461513025664897E-2</v>
      </c>
      <c r="BX10" s="110">
        <v>6.3129555054611305E-2</v>
      </c>
      <c r="BY10" s="124">
        <v>3.85E-2</v>
      </c>
    </row>
    <row r="11" spans="1:77" s="16" customFormat="1" ht="18" customHeight="1" x14ac:dyDescent="0.2">
      <c r="A11" s="40">
        <v>23</v>
      </c>
      <c r="B11" s="41" t="s">
        <v>88</v>
      </c>
      <c r="C11" s="40" t="s">
        <v>82</v>
      </c>
      <c r="D11" s="40" t="s">
        <v>90</v>
      </c>
      <c r="E11" s="86"/>
      <c r="F11" s="104">
        <v>10034</v>
      </c>
      <c r="G11" s="105"/>
      <c r="H11" s="106">
        <v>175</v>
      </c>
      <c r="I11" s="106"/>
      <c r="J11" s="106">
        <v>200</v>
      </c>
      <c r="K11" s="106"/>
      <c r="L11" s="107">
        <v>190</v>
      </c>
      <c r="N11" s="86"/>
      <c r="O11" s="108">
        <f>$F$11</f>
        <v>10034</v>
      </c>
      <c r="P11" s="109"/>
      <c r="Q11" s="106">
        <v>195</v>
      </c>
      <c r="R11" s="110"/>
      <c r="S11" s="110">
        <v>0.14000000000000001</v>
      </c>
      <c r="T11" s="106"/>
      <c r="U11" s="106">
        <v>65</v>
      </c>
      <c r="V11" s="110"/>
      <c r="W11" s="110">
        <v>0.18</v>
      </c>
      <c r="X11" s="106"/>
      <c r="Y11" s="107">
        <v>80</v>
      </c>
      <c r="Z11" s="86"/>
      <c r="AB11" s="108">
        <f>$F$11</f>
        <v>10034</v>
      </c>
      <c r="AC11" s="111"/>
      <c r="AD11" s="112">
        <v>0.7</v>
      </c>
      <c r="AE11" s="112"/>
      <c r="AF11" s="112">
        <v>0.7</v>
      </c>
      <c r="AG11" s="112"/>
      <c r="AH11" s="112">
        <v>0.08</v>
      </c>
      <c r="AI11" s="113">
        <v>12</v>
      </c>
      <c r="AJ11" s="107">
        <v>10</v>
      </c>
      <c r="AM11" s="108">
        <f>$F$11</f>
        <v>10034</v>
      </c>
      <c r="AN11" s="114">
        <v>0.22839999999999999</v>
      </c>
      <c r="AO11" s="114">
        <f t="shared" si="15"/>
        <v>0.27839999999999998</v>
      </c>
      <c r="AP11" s="115">
        <v>238</v>
      </c>
      <c r="AQ11" s="106">
        <f t="shared" si="12"/>
        <v>261.8</v>
      </c>
      <c r="AR11" s="106">
        <v>13.8</v>
      </c>
      <c r="AS11" s="106">
        <f t="shared" si="7"/>
        <v>15.180000000000001</v>
      </c>
      <c r="AT11" s="116"/>
      <c r="AU11" s="117" t="s">
        <v>40</v>
      </c>
      <c r="AV11" s="118">
        <v>2.7777777777777779E-3</v>
      </c>
      <c r="AW11" s="119"/>
      <c r="AX11" s="120" t="s">
        <v>27</v>
      </c>
      <c r="BA11" s="108">
        <f>$F$11</f>
        <v>10034</v>
      </c>
      <c r="BB11" s="115"/>
      <c r="BC11" s="106">
        <f t="shared" si="13"/>
        <v>55</v>
      </c>
      <c r="BD11" s="106">
        <v>15</v>
      </c>
      <c r="BE11" s="106">
        <f t="shared" si="14"/>
        <v>8.25</v>
      </c>
      <c r="BF11" s="106"/>
      <c r="BG11" s="106">
        <v>6</v>
      </c>
      <c r="BH11" s="106"/>
      <c r="BI11" s="106">
        <v>60</v>
      </c>
      <c r="BJ11" s="110"/>
      <c r="BK11" s="121">
        <v>1.8</v>
      </c>
      <c r="BL11" s="110"/>
      <c r="BM11" s="121">
        <v>0.23530000000000001</v>
      </c>
      <c r="BN11" s="110"/>
      <c r="BO11" s="122">
        <v>1.3332999999999999</v>
      </c>
      <c r="BR11" s="108">
        <f>$F$11</f>
        <v>10034</v>
      </c>
      <c r="BS11" s="123">
        <v>5.5</v>
      </c>
      <c r="BT11" s="110"/>
      <c r="BU11" s="110"/>
      <c r="BV11" s="110">
        <v>0.23</v>
      </c>
      <c r="BW11" s="110"/>
      <c r="BX11" s="110"/>
      <c r="BY11" s="124">
        <v>0.04</v>
      </c>
    </row>
    <row r="12" spans="1:77" s="16" customFormat="1" ht="18" customHeight="1" x14ac:dyDescent="0.2">
      <c r="A12" s="42">
        <v>5</v>
      </c>
      <c r="B12" s="43" t="s">
        <v>81</v>
      </c>
      <c r="C12" s="42" t="s">
        <v>86</v>
      </c>
      <c r="D12" s="42" t="s">
        <v>87</v>
      </c>
      <c r="E12" s="86"/>
      <c r="F12" s="104" t="s">
        <v>5</v>
      </c>
      <c r="G12" s="105">
        <v>105</v>
      </c>
      <c r="H12" s="106">
        <f t="shared" si="3"/>
        <v>100</v>
      </c>
      <c r="I12" s="106">
        <v>132</v>
      </c>
      <c r="J12" s="106">
        <f t="shared" si="4"/>
        <v>125</v>
      </c>
      <c r="K12" s="106">
        <v>143</v>
      </c>
      <c r="L12" s="107">
        <f t="shared" si="5"/>
        <v>130</v>
      </c>
      <c r="N12" s="86"/>
      <c r="O12" s="108" t="str">
        <f>$F$12</f>
        <v>10422</v>
      </c>
      <c r="P12" s="109">
        <v>125.20970663209999</v>
      </c>
      <c r="Q12" s="106">
        <f t="shared" si="6"/>
        <v>120</v>
      </c>
      <c r="R12" s="110">
        <v>2.6019385931661799E-2</v>
      </c>
      <c r="S12" s="110">
        <v>0.12</v>
      </c>
      <c r="T12" s="106">
        <v>51.203820815702201</v>
      </c>
      <c r="U12" s="106">
        <f t="shared" si="0"/>
        <v>45</v>
      </c>
      <c r="V12" s="110">
        <v>0.93281448538754697</v>
      </c>
      <c r="W12" s="110">
        <v>0.96</v>
      </c>
      <c r="X12" s="106">
        <v>86.337495937267605</v>
      </c>
      <c r="Y12" s="107">
        <f>FLOOR(SUM(X12-(X12*0.05)),5)</f>
        <v>80</v>
      </c>
      <c r="Z12" s="86"/>
      <c r="AB12" s="108" t="str">
        <f>$F$12</f>
        <v>10422</v>
      </c>
      <c r="AC12" s="111">
        <v>0.91200000000000003</v>
      </c>
      <c r="AD12" s="112">
        <v>0.92</v>
      </c>
      <c r="AE12" s="112">
        <v>0.77500000000000002</v>
      </c>
      <c r="AF12" s="112">
        <v>0.8</v>
      </c>
      <c r="AG12" s="112">
        <v>3.9E-2</v>
      </c>
      <c r="AH12" s="112">
        <v>3.5000000000000003E-2</v>
      </c>
      <c r="AI12" s="113">
        <v>16</v>
      </c>
      <c r="AJ12" s="107">
        <v>12</v>
      </c>
      <c r="AM12" s="108" t="str">
        <f>$F$12</f>
        <v>10422</v>
      </c>
      <c r="AN12" s="114">
        <v>0.221542114636156</v>
      </c>
      <c r="AO12" s="114">
        <f t="shared" si="15"/>
        <v>0.27154211463615602</v>
      </c>
      <c r="AP12" s="115">
        <v>280</v>
      </c>
      <c r="AQ12" s="106">
        <f t="shared" si="12"/>
        <v>308</v>
      </c>
      <c r="AR12" s="106">
        <v>13.414835164835164</v>
      </c>
      <c r="AS12" s="106">
        <f t="shared" si="7"/>
        <v>14.756318681318682</v>
      </c>
      <c r="AT12" s="116">
        <v>2.476851851851852E-3</v>
      </c>
      <c r="AU12" s="117" t="s">
        <v>40</v>
      </c>
      <c r="AV12" s="118">
        <v>2.0833333333333333E-3</v>
      </c>
      <c r="AW12" s="119">
        <v>3.98743718592964</v>
      </c>
      <c r="AX12" s="120" t="s">
        <v>27</v>
      </c>
      <c r="BA12" s="108" t="str">
        <f>$F$12</f>
        <v>10422</v>
      </c>
      <c r="BB12" s="115">
        <v>52</v>
      </c>
      <c r="BC12" s="106">
        <f t="shared" si="8"/>
        <v>53</v>
      </c>
      <c r="BD12" s="106">
        <v>10</v>
      </c>
      <c r="BE12" s="106">
        <f t="shared" si="9"/>
        <v>7.9499999999999993</v>
      </c>
      <c r="BF12" s="106">
        <v>4</v>
      </c>
      <c r="BG12" s="106">
        <v>11</v>
      </c>
      <c r="BH12" s="106">
        <f t="shared" si="2"/>
        <v>66</v>
      </c>
      <c r="BI12" s="106">
        <v>63</v>
      </c>
      <c r="BJ12" s="110">
        <v>0.6</v>
      </c>
      <c r="BK12" s="121">
        <f t="shared" si="16"/>
        <v>0.5</v>
      </c>
      <c r="BL12" s="110">
        <v>0.5</v>
      </c>
      <c r="BM12" s="121">
        <f t="shared" si="10"/>
        <v>0.4</v>
      </c>
      <c r="BN12" s="110">
        <v>2.1852</v>
      </c>
      <c r="BO12" s="122">
        <f t="shared" si="11"/>
        <v>2.0851999999999999</v>
      </c>
      <c r="BR12" s="108" t="str">
        <f>$F$12</f>
        <v>10422</v>
      </c>
      <c r="BS12" s="123">
        <v>5.4</v>
      </c>
      <c r="BT12" s="110">
        <v>0.22002101233631</v>
      </c>
      <c r="BU12" s="110">
        <v>0.22994930145404899</v>
      </c>
      <c r="BV12" s="110">
        <v>0.21249999999999999</v>
      </c>
      <c r="BW12" s="110">
        <v>3.9164707270375999E-2</v>
      </c>
      <c r="BX12" s="110">
        <v>4.5217017062392402E-2</v>
      </c>
      <c r="BY12" s="124">
        <v>3.9E-2</v>
      </c>
    </row>
    <row r="13" spans="1:77" s="16" customFormat="1" ht="18" customHeight="1" x14ac:dyDescent="0.2">
      <c r="A13" s="40">
        <v>6</v>
      </c>
      <c r="B13" s="41" t="s">
        <v>81</v>
      </c>
      <c r="C13" s="40" t="s">
        <v>82</v>
      </c>
      <c r="D13" s="40" t="s">
        <v>91</v>
      </c>
      <c r="E13" s="86"/>
      <c r="F13" s="104" t="s">
        <v>6</v>
      </c>
      <c r="G13" s="105">
        <v>114</v>
      </c>
      <c r="H13" s="106">
        <f t="shared" si="3"/>
        <v>110</v>
      </c>
      <c r="I13" s="106">
        <v>144</v>
      </c>
      <c r="J13" s="106">
        <f t="shared" si="4"/>
        <v>140</v>
      </c>
      <c r="K13" s="106">
        <v>163</v>
      </c>
      <c r="L13" s="107">
        <f t="shared" si="5"/>
        <v>150</v>
      </c>
      <c r="N13" s="86"/>
      <c r="O13" s="108" t="str">
        <f>$F$13</f>
        <v>10915</v>
      </c>
      <c r="P13" s="109">
        <v>139.36597957337099</v>
      </c>
      <c r="Q13" s="106">
        <f t="shared" si="6"/>
        <v>135</v>
      </c>
      <c r="R13" s="110">
        <v>5.1050862366874998E-2</v>
      </c>
      <c r="S13" s="110">
        <v>0.12</v>
      </c>
      <c r="T13" s="106">
        <v>51.508346381380001</v>
      </c>
      <c r="U13" s="106">
        <f t="shared" si="0"/>
        <v>45</v>
      </c>
      <c r="V13" s="110">
        <v>0.87726120033812305</v>
      </c>
      <c r="W13" s="110">
        <v>0.92</v>
      </c>
      <c r="X13" s="106">
        <v>66.770329396722801</v>
      </c>
      <c r="Y13" s="107">
        <v>65</v>
      </c>
      <c r="Z13" s="86"/>
      <c r="AB13" s="108" t="str">
        <f>$F$13</f>
        <v>10915</v>
      </c>
      <c r="AC13" s="111">
        <v>0.90900000000000003</v>
      </c>
      <c r="AD13" s="112">
        <v>0.91</v>
      </c>
      <c r="AE13" s="112">
        <v>0.91725352112699998</v>
      </c>
      <c r="AF13" s="112">
        <v>0.92</v>
      </c>
      <c r="AG13" s="112">
        <v>1.6E-2</v>
      </c>
      <c r="AH13" s="112">
        <v>1.2999999999999999E-2</v>
      </c>
      <c r="AI13" s="113">
        <v>3</v>
      </c>
      <c r="AJ13" s="107">
        <v>3</v>
      </c>
      <c r="AM13" s="108" t="str">
        <f>$F$13</f>
        <v>10915</v>
      </c>
      <c r="AN13" s="114">
        <v>0.29368496180312598</v>
      </c>
      <c r="AO13" s="114">
        <f t="shared" si="15"/>
        <v>0.34368496180312597</v>
      </c>
      <c r="AP13" s="115">
        <v>375</v>
      </c>
      <c r="AQ13" s="106">
        <f t="shared" si="12"/>
        <v>412.50000000000006</v>
      </c>
      <c r="AR13" s="106">
        <v>34.304945054945058</v>
      </c>
      <c r="AS13" s="106">
        <f t="shared" si="7"/>
        <v>37.735439560439566</v>
      </c>
      <c r="AT13" s="116">
        <v>2.2222222222222222E-3</v>
      </c>
      <c r="AU13" s="117" t="s">
        <v>40</v>
      </c>
      <c r="AV13" s="118">
        <v>2.0833333333333333E-3</v>
      </c>
      <c r="AW13" s="119">
        <v>4.3967136150234696</v>
      </c>
      <c r="AX13" s="120" t="s">
        <v>27</v>
      </c>
      <c r="BA13" s="108" t="str">
        <f>$F$13</f>
        <v>10915</v>
      </c>
      <c r="BB13" s="115">
        <v>46</v>
      </c>
      <c r="BC13" s="106">
        <f t="shared" si="8"/>
        <v>55</v>
      </c>
      <c r="BD13" s="106">
        <v>17</v>
      </c>
      <c r="BE13" s="106">
        <f t="shared" si="9"/>
        <v>8.25</v>
      </c>
      <c r="BF13" s="106">
        <v>2</v>
      </c>
      <c r="BG13" s="106">
        <v>11</v>
      </c>
      <c r="BH13" s="106">
        <f t="shared" si="2"/>
        <v>65</v>
      </c>
      <c r="BI13" s="106">
        <v>65</v>
      </c>
      <c r="BJ13" s="110">
        <v>0.35289999999999999</v>
      </c>
      <c r="BK13" s="121">
        <f t="shared" si="16"/>
        <v>0.25290000000000001</v>
      </c>
      <c r="BL13" s="110">
        <v>0.66669999999999996</v>
      </c>
      <c r="BM13" s="121">
        <f t="shared" si="10"/>
        <v>0.56669999999999998</v>
      </c>
      <c r="BN13" s="110">
        <v>1.9348000000000001</v>
      </c>
      <c r="BO13" s="122">
        <f t="shared" si="11"/>
        <v>1.8348</v>
      </c>
      <c r="BR13" s="108" t="str">
        <f>$F$13</f>
        <v>10915</v>
      </c>
      <c r="BS13" s="123">
        <v>5.5</v>
      </c>
      <c r="BT13" s="110">
        <v>0.21543987335940101</v>
      </c>
      <c r="BU13" s="110">
        <v>0.216764742094953</v>
      </c>
      <c r="BV13" s="110">
        <v>0.215</v>
      </c>
      <c r="BW13" s="110">
        <v>4.2760367618483501E-2</v>
      </c>
      <c r="BX13" s="110">
        <v>4.2165695468048402E-2</v>
      </c>
      <c r="BY13" s="124">
        <v>4.1500000000000002E-2</v>
      </c>
    </row>
    <row r="14" spans="1:77" s="16" customFormat="1" ht="18" customHeight="1" x14ac:dyDescent="0.2">
      <c r="A14" s="42">
        <v>7</v>
      </c>
      <c r="B14" s="43" t="s">
        <v>81</v>
      </c>
      <c r="C14" s="42" t="s">
        <v>84</v>
      </c>
      <c r="D14" s="42" t="s">
        <v>92</v>
      </c>
      <c r="E14" s="86"/>
      <c r="F14" s="104" t="s">
        <v>7</v>
      </c>
      <c r="G14" s="105">
        <v>134</v>
      </c>
      <c r="H14" s="106">
        <f t="shared" si="3"/>
        <v>130</v>
      </c>
      <c r="I14" s="106">
        <v>156</v>
      </c>
      <c r="J14" s="106">
        <f t="shared" si="4"/>
        <v>150</v>
      </c>
      <c r="K14" s="106">
        <v>200</v>
      </c>
      <c r="L14" s="107">
        <f t="shared" si="5"/>
        <v>185</v>
      </c>
      <c r="N14" s="86"/>
      <c r="O14" s="108" t="str">
        <f>$F$14</f>
        <v>11657</v>
      </c>
      <c r="P14" s="109">
        <v>158.507710953691</v>
      </c>
      <c r="Q14" s="106">
        <f t="shared" si="6"/>
        <v>150</v>
      </c>
      <c r="R14" s="110">
        <v>1.9259091424039799E-2</v>
      </c>
      <c r="S14" s="110">
        <v>0.12</v>
      </c>
      <c r="T14" s="106">
        <v>65.640026732924795</v>
      </c>
      <c r="U14" s="106">
        <f t="shared" si="0"/>
        <v>60</v>
      </c>
      <c r="V14" s="110">
        <v>0.240092748735244</v>
      </c>
      <c r="W14" s="110">
        <v>0.5</v>
      </c>
      <c r="X14" s="106">
        <v>95.538272105914601</v>
      </c>
      <c r="Y14" s="107">
        <v>90</v>
      </c>
      <c r="Z14" s="86"/>
      <c r="AB14" s="108" t="str">
        <f>$F$14</f>
        <v>11657</v>
      </c>
      <c r="AC14" s="111">
        <v>0.751</v>
      </c>
      <c r="AD14" s="112">
        <v>0.82</v>
      </c>
      <c r="AE14" s="112">
        <v>0.72921108741999996</v>
      </c>
      <c r="AF14" s="112">
        <v>0.75</v>
      </c>
      <c r="AG14" s="112">
        <v>4.7E-2</v>
      </c>
      <c r="AH14" s="112">
        <v>0.04</v>
      </c>
      <c r="AI14" s="113">
        <v>1.7</v>
      </c>
      <c r="AJ14" s="107">
        <v>2</v>
      </c>
      <c r="AM14" s="108" t="str">
        <f>$F$14</f>
        <v>11657</v>
      </c>
      <c r="AN14" s="114">
        <v>0.25427756199874502</v>
      </c>
      <c r="AO14" s="114">
        <f t="shared" si="15"/>
        <v>0.30427756199874501</v>
      </c>
      <c r="AP14" s="115">
        <v>301</v>
      </c>
      <c r="AQ14" s="106">
        <f t="shared" si="12"/>
        <v>331.1</v>
      </c>
      <c r="AR14" s="106">
        <v>18.890109890109891</v>
      </c>
      <c r="AS14" s="106">
        <f t="shared" si="7"/>
        <v>20.779120879120882</v>
      </c>
      <c r="AT14" s="116">
        <v>1.9791666666666668E-3</v>
      </c>
      <c r="AU14" s="117" t="s">
        <v>40</v>
      </c>
      <c r="AV14" s="118">
        <v>1.9675925925925924E-3</v>
      </c>
      <c r="AW14" s="119">
        <v>4.3703703703703702</v>
      </c>
      <c r="AX14" s="120" t="s">
        <v>27</v>
      </c>
      <c r="BA14" s="108" t="str">
        <f>$F$14</f>
        <v>11657</v>
      </c>
      <c r="BB14" s="115">
        <v>32</v>
      </c>
      <c r="BC14" s="106">
        <f t="shared" si="8"/>
        <v>43</v>
      </c>
      <c r="BD14" s="106">
        <v>12</v>
      </c>
      <c r="BE14" s="106">
        <f t="shared" si="9"/>
        <v>6.45</v>
      </c>
      <c r="BF14" s="106">
        <v>1</v>
      </c>
      <c r="BG14" s="106">
        <v>11</v>
      </c>
      <c r="BH14" s="106">
        <f t="shared" si="2"/>
        <v>45</v>
      </c>
      <c r="BI14" s="106">
        <v>53</v>
      </c>
      <c r="BJ14" s="110">
        <v>0.58330000000000004</v>
      </c>
      <c r="BK14" s="121">
        <f t="shared" si="16"/>
        <v>0.48330000000000006</v>
      </c>
      <c r="BL14" s="110">
        <v>0.5</v>
      </c>
      <c r="BM14" s="121">
        <f t="shared" si="10"/>
        <v>0.4</v>
      </c>
      <c r="BN14" s="110">
        <v>1.1212</v>
      </c>
      <c r="BO14" s="122">
        <f t="shared" si="11"/>
        <v>1.0211999999999999</v>
      </c>
      <c r="BR14" s="108" t="str">
        <f>$F$14</f>
        <v>11657</v>
      </c>
      <c r="BS14" s="123">
        <v>6</v>
      </c>
      <c r="BT14" s="110">
        <v>0.21844876691488599</v>
      </c>
      <c r="BU14" s="110">
        <v>0.22055476730530499</v>
      </c>
      <c r="BV14" s="110">
        <v>0.22</v>
      </c>
      <c r="BW14" s="110">
        <v>4.4790651196461299E-2</v>
      </c>
      <c r="BX14" s="110">
        <v>4.7872384956771999E-2</v>
      </c>
      <c r="BY14" s="124">
        <v>4.4999999999999998E-2</v>
      </c>
    </row>
    <row r="15" spans="1:77" s="16" customFormat="1" ht="18" customHeight="1" x14ac:dyDescent="0.2">
      <c r="A15" s="40">
        <v>8</v>
      </c>
      <c r="B15" s="41" t="s">
        <v>81</v>
      </c>
      <c r="C15" s="40" t="s">
        <v>86</v>
      </c>
      <c r="D15" s="40" t="s">
        <v>87</v>
      </c>
      <c r="E15" s="86"/>
      <c r="F15" s="104" t="s">
        <v>8</v>
      </c>
      <c r="G15" s="105">
        <v>113</v>
      </c>
      <c r="H15" s="106">
        <f t="shared" si="3"/>
        <v>110</v>
      </c>
      <c r="I15" s="106">
        <v>144</v>
      </c>
      <c r="J15" s="106">
        <f t="shared" si="4"/>
        <v>140</v>
      </c>
      <c r="K15" s="106">
        <v>155</v>
      </c>
      <c r="L15" s="107">
        <f t="shared" si="5"/>
        <v>140</v>
      </c>
      <c r="N15" s="86"/>
      <c r="O15" s="108" t="str">
        <f>$F$15</f>
        <v>13113</v>
      </c>
      <c r="P15" s="109">
        <v>136.76590749299501</v>
      </c>
      <c r="Q15" s="106">
        <f t="shared" si="6"/>
        <v>130</v>
      </c>
      <c r="R15" s="110">
        <v>7.3748573161873193E-2</v>
      </c>
      <c r="S15" s="110">
        <v>0.14000000000000001</v>
      </c>
      <c r="T15" s="106">
        <v>57.119414015832099</v>
      </c>
      <c r="U15" s="106">
        <f t="shared" si="0"/>
        <v>50</v>
      </c>
      <c r="V15" s="110">
        <v>5.0606585788561503E-2</v>
      </c>
      <c r="W15" s="110">
        <v>0.5</v>
      </c>
      <c r="X15" s="106">
        <v>62.008295290137902</v>
      </c>
      <c r="Y15" s="107">
        <v>60</v>
      </c>
      <c r="Z15" s="86"/>
      <c r="AB15" s="108" t="str">
        <f>$F$15</f>
        <v>13113</v>
      </c>
      <c r="AC15" s="111">
        <v>0.81799999999999995</v>
      </c>
      <c r="AD15" s="112">
        <v>0.82</v>
      </c>
      <c r="AE15" s="112">
        <v>0.79742765273299998</v>
      </c>
      <c r="AF15" s="112">
        <v>0.82</v>
      </c>
      <c r="AG15" s="112">
        <v>0.05</v>
      </c>
      <c r="AH15" s="112">
        <v>0.04</v>
      </c>
      <c r="AI15" s="113">
        <v>2</v>
      </c>
      <c r="AJ15" s="107">
        <v>2</v>
      </c>
      <c r="AM15" s="108" t="str">
        <f>$F$15</f>
        <v>13113</v>
      </c>
      <c r="AN15" s="114">
        <v>0.22929401753494999</v>
      </c>
      <c r="AO15" s="114">
        <f t="shared" si="15"/>
        <v>0.27929401753494998</v>
      </c>
      <c r="AP15" s="115">
        <v>213</v>
      </c>
      <c r="AQ15" s="106">
        <f t="shared" si="12"/>
        <v>234.3</v>
      </c>
      <c r="AR15" s="106">
        <v>9.4532967032967026</v>
      </c>
      <c r="AS15" s="106">
        <f t="shared" si="7"/>
        <v>10.398626373626374</v>
      </c>
      <c r="AT15" s="116">
        <v>2.6041666666666665E-3</v>
      </c>
      <c r="AU15" s="117" t="s">
        <v>40</v>
      </c>
      <c r="AV15" s="118">
        <v>2.0833333333333333E-3</v>
      </c>
      <c r="AW15" s="119">
        <v>4.1152542372881298</v>
      </c>
      <c r="AX15" s="120" t="s">
        <v>27</v>
      </c>
      <c r="BA15" s="108" t="str">
        <f>$F$15</f>
        <v>13113</v>
      </c>
      <c r="BB15" s="115">
        <v>50</v>
      </c>
      <c r="BC15" s="106">
        <f t="shared" si="8"/>
        <v>46</v>
      </c>
      <c r="BD15" s="106">
        <v>9</v>
      </c>
      <c r="BE15" s="106">
        <f t="shared" si="9"/>
        <v>6.8999999999999995</v>
      </c>
      <c r="BF15" s="106">
        <v>1</v>
      </c>
      <c r="BG15" s="106">
        <v>10</v>
      </c>
      <c r="BH15" s="106">
        <f t="shared" si="2"/>
        <v>60</v>
      </c>
      <c r="BI15" s="106">
        <v>55</v>
      </c>
      <c r="BJ15" s="110">
        <v>1.1111</v>
      </c>
      <c r="BK15" s="121">
        <f t="shared" si="16"/>
        <v>1.0110999999999999</v>
      </c>
      <c r="BL15" s="110">
        <v>0.26669999999999999</v>
      </c>
      <c r="BM15" s="121">
        <f t="shared" si="10"/>
        <v>0.16669999999999999</v>
      </c>
      <c r="BN15" s="110">
        <v>1.7585999999999999</v>
      </c>
      <c r="BO15" s="122">
        <f t="shared" si="11"/>
        <v>1.6585999999999999</v>
      </c>
      <c r="BR15" s="108" t="str">
        <f>$F$15</f>
        <v>13113</v>
      </c>
      <c r="BS15" s="123">
        <v>5.7</v>
      </c>
      <c r="BT15" s="110">
        <v>0.218210357586089</v>
      </c>
      <c r="BU15" s="110">
        <v>0.21198423590026999</v>
      </c>
      <c r="BV15" s="110">
        <v>0.215</v>
      </c>
      <c r="BW15" s="110">
        <v>4.8287090315404201E-2</v>
      </c>
      <c r="BX15" s="110">
        <v>5.6919358364975497E-2</v>
      </c>
      <c r="BY15" s="124">
        <v>4.3475E-2</v>
      </c>
    </row>
    <row r="16" spans="1:77" s="16" customFormat="1" ht="18" customHeight="1" x14ac:dyDescent="0.2">
      <c r="A16" s="42">
        <v>9</v>
      </c>
      <c r="B16" s="43" t="s">
        <v>81</v>
      </c>
      <c r="C16" s="42" t="s">
        <v>84</v>
      </c>
      <c r="D16" s="42" t="s">
        <v>85</v>
      </c>
      <c r="E16" s="86"/>
      <c r="F16" s="104" t="s">
        <v>9</v>
      </c>
      <c r="G16" s="105">
        <v>114</v>
      </c>
      <c r="H16" s="106">
        <f t="shared" si="3"/>
        <v>110</v>
      </c>
      <c r="I16" s="106">
        <v>146</v>
      </c>
      <c r="J16" s="106">
        <f t="shared" si="4"/>
        <v>140</v>
      </c>
      <c r="K16" s="106">
        <v>170</v>
      </c>
      <c r="L16" s="107">
        <f t="shared" si="5"/>
        <v>155</v>
      </c>
      <c r="N16" s="86"/>
      <c r="O16" s="108" t="str">
        <f>$F$16</f>
        <v>18213</v>
      </c>
      <c r="P16" s="109">
        <v>140.035929701778</v>
      </c>
      <c r="Q16" s="106">
        <f t="shared" si="6"/>
        <v>135</v>
      </c>
      <c r="R16" s="110">
        <v>8.1910578166094501E-3</v>
      </c>
      <c r="S16" s="110">
        <v>0.12</v>
      </c>
      <c r="T16" s="106">
        <v>56.129591102639203</v>
      </c>
      <c r="U16" s="106">
        <f t="shared" si="0"/>
        <v>50</v>
      </c>
      <c r="V16" s="110">
        <v>1.3717421124828501E-3</v>
      </c>
      <c r="W16" s="110">
        <v>0.5</v>
      </c>
      <c r="X16" s="106">
        <v>111.584566254653</v>
      </c>
      <c r="Y16" s="107">
        <v>100</v>
      </c>
      <c r="Z16" s="86"/>
      <c r="AB16" s="108" t="str">
        <f>$F$16</f>
        <v>18213</v>
      </c>
      <c r="AC16" s="111">
        <v>0.79900000000000004</v>
      </c>
      <c r="AD16" s="112">
        <v>0.82</v>
      </c>
      <c r="AE16" s="112">
        <v>0.85306122448999999</v>
      </c>
      <c r="AF16" s="112">
        <v>0.88</v>
      </c>
      <c r="AG16" s="112">
        <v>2.9000000000000001E-2</v>
      </c>
      <c r="AH16" s="112">
        <v>2.7E-2</v>
      </c>
      <c r="AI16" s="113">
        <v>11.8</v>
      </c>
      <c r="AJ16" s="107">
        <v>10</v>
      </c>
      <c r="AM16" s="108" t="str">
        <f>$F$16</f>
        <v>18213</v>
      </c>
      <c r="AN16" s="114">
        <v>0.23071340957988201</v>
      </c>
      <c r="AO16" s="114">
        <f t="shared" si="15"/>
        <v>0.280713409579882</v>
      </c>
      <c r="AP16" s="115">
        <v>141</v>
      </c>
      <c r="AQ16" s="106">
        <f t="shared" si="12"/>
        <v>155.10000000000002</v>
      </c>
      <c r="AR16" s="106">
        <v>6.1840659340659343</v>
      </c>
      <c r="AS16" s="106">
        <f t="shared" si="7"/>
        <v>6.8024725274725286</v>
      </c>
      <c r="AT16" s="116">
        <v>1.2847222222222223E-3</v>
      </c>
      <c r="AU16" s="117" t="s">
        <v>40</v>
      </c>
      <c r="AV16" s="118">
        <v>1.2731481481481483E-3</v>
      </c>
      <c r="AW16" s="119">
        <v>4.2477064220183403</v>
      </c>
      <c r="AX16" s="120" t="s">
        <v>27</v>
      </c>
      <c r="BA16" s="108" t="str">
        <f>$F$16</f>
        <v>18213</v>
      </c>
      <c r="BB16" s="115">
        <v>23</v>
      </c>
      <c r="BC16" s="106">
        <f t="shared" si="8"/>
        <v>25</v>
      </c>
      <c r="BD16" s="106">
        <v>10</v>
      </c>
      <c r="BE16" s="106">
        <f t="shared" si="9"/>
        <v>3.75</v>
      </c>
      <c r="BF16" s="106">
        <v>2</v>
      </c>
      <c r="BG16" s="106">
        <v>8</v>
      </c>
      <c r="BH16" s="106">
        <f t="shared" si="2"/>
        <v>35</v>
      </c>
      <c r="BI16" s="106">
        <v>32</v>
      </c>
      <c r="BJ16" s="110">
        <v>0.1</v>
      </c>
      <c r="BK16" s="121">
        <v>0.05</v>
      </c>
      <c r="BL16" s="110">
        <v>0.8</v>
      </c>
      <c r="BM16" s="121">
        <f t="shared" si="10"/>
        <v>0.70000000000000007</v>
      </c>
      <c r="BN16" s="110">
        <v>1.6521999999999999</v>
      </c>
      <c r="BO16" s="122">
        <f t="shared" si="11"/>
        <v>1.5521999999999998</v>
      </c>
      <c r="BR16" s="108" t="str">
        <f>$F$16</f>
        <v>18213</v>
      </c>
      <c r="BS16" s="123">
        <v>5.5</v>
      </c>
      <c r="BT16" s="110">
        <v>0.225570265786115</v>
      </c>
      <c r="BU16" s="110">
        <v>0.23212148337463501</v>
      </c>
      <c r="BV16" s="110">
        <v>0.22500000000000001</v>
      </c>
      <c r="BW16" s="110">
        <v>5.0080185718438898E-2</v>
      </c>
      <c r="BX16" s="110">
        <v>4.8350896676135999E-2</v>
      </c>
      <c r="BY16" s="124">
        <v>4.5999999999999999E-2</v>
      </c>
    </row>
    <row r="17" spans="1:77" s="16" customFormat="1" ht="18" customHeight="1" x14ac:dyDescent="0.2">
      <c r="A17" s="40">
        <v>10</v>
      </c>
      <c r="B17" s="41" t="s">
        <v>81</v>
      </c>
      <c r="C17" s="40" t="s">
        <v>84</v>
      </c>
      <c r="D17" s="40" t="s">
        <v>92</v>
      </c>
      <c r="E17" s="86"/>
      <c r="F17" s="104" t="s">
        <v>10</v>
      </c>
      <c r="G17" s="105">
        <v>116</v>
      </c>
      <c r="H17" s="106">
        <f t="shared" si="3"/>
        <v>115</v>
      </c>
      <c r="I17" s="106">
        <v>134</v>
      </c>
      <c r="J17" s="106">
        <f t="shared" si="4"/>
        <v>130</v>
      </c>
      <c r="K17" s="106">
        <v>193</v>
      </c>
      <c r="L17" s="107">
        <f t="shared" si="5"/>
        <v>175</v>
      </c>
      <c r="N17" s="86"/>
      <c r="O17" s="108" t="str">
        <f>$F$17</f>
        <v>20475</v>
      </c>
      <c r="P17" s="109">
        <v>141.82554606954699</v>
      </c>
      <c r="Q17" s="106">
        <f t="shared" si="6"/>
        <v>135</v>
      </c>
      <c r="R17" s="110">
        <v>7.8052489652577398E-2</v>
      </c>
      <c r="S17" s="110">
        <v>0.12</v>
      </c>
      <c r="T17" s="106">
        <v>50.487420062281302</v>
      </c>
      <c r="U17" s="106">
        <f t="shared" si="0"/>
        <v>45</v>
      </c>
      <c r="V17" s="110">
        <v>0.75812175812175797</v>
      </c>
      <c r="W17" s="110">
        <v>0.85</v>
      </c>
      <c r="X17" s="106">
        <v>64.323199345139599</v>
      </c>
      <c r="Y17" s="107">
        <f>FLOOR(SUM(X17-(X17*0.05)),5)</f>
        <v>60</v>
      </c>
      <c r="Z17" s="86"/>
      <c r="AB17" s="108" t="str">
        <f>$F$17</f>
        <v>20475</v>
      </c>
      <c r="AC17" s="111">
        <v>0.79</v>
      </c>
      <c r="AD17" s="112">
        <v>0.82</v>
      </c>
      <c r="AE17" s="112">
        <v>0.83427762039700004</v>
      </c>
      <c r="AF17" s="112">
        <v>0.85</v>
      </c>
      <c r="AG17" s="112">
        <v>4.8000000000000001E-2</v>
      </c>
      <c r="AH17" s="112">
        <v>0.04</v>
      </c>
      <c r="AI17" s="113">
        <v>8.5</v>
      </c>
      <c r="AJ17" s="107">
        <v>8</v>
      </c>
      <c r="AM17" s="108" t="str">
        <f>$F$17</f>
        <v>20475</v>
      </c>
      <c r="AN17" s="114">
        <v>0.31851333327390802</v>
      </c>
      <c r="AO17" s="114">
        <f t="shared" si="15"/>
        <v>0.36851333327390801</v>
      </c>
      <c r="AP17" s="115">
        <v>362</v>
      </c>
      <c r="AQ17" s="106">
        <f t="shared" si="12"/>
        <v>398.20000000000005</v>
      </c>
      <c r="AR17" s="106">
        <v>50.431318681318679</v>
      </c>
      <c r="AS17" s="106">
        <f t="shared" si="7"/>
        <v>55.474450549450552</v>
      </c>
      <c r="AT17" s="116">
        <v>2.3611111111111111E-3</v>
      </c>
      <c r="AU17" s="117" t="s">
        <v>40</v>
      </c>
      <c r="AV17" s="118">
        <v>2.0833333333333333E-3</v>
      </c>
      <c r="AW17" s="119">
        <v>4.2620817843866101</v>
      </c>
      <c r="AX17" s="120" t="s">
        <v>27</v>
      </c>
      <c r="BA17" s="108" t="str">
        <f>$F$17</f>
        <v>20475</v>
      </c>
      <c r="BB17" s="115">
        <v>40</v>
      </c>
      <c r="BC17" s="106">
        <f t="shared" si="8"/>
        <v>41</v>
      </c>
      <c r="BD17" s="106">
        <v>10</v>
      </c>
      <c r="BE17" s="106">
        <f t="shared" si="9"/>
        <v>6.1499999999999995</v>
      </c>
      <c r="BF17" s="106">
        <v>2</v>
      </c>
      <c r="BG17" s="106">
        <v>10</v>
      </c>
      <c r="BH17" s="106">
        <f t="shared" si="2"/>
        <v>52</v>
      </c>
      <c r="BI17" s="106">
        <v>50</v>
      </c>
      <c r="BJ17" s="110">
        <v>0.3</v>
      </c>
      <c r="BK17" s="121">
        <f t="shared" si="16"/>
        <v>0.19999999999999998</v>
      </c>
      <c r="BL17" s="110">
        <v>0.22220000000000001</v>
      </c>
      <c r="BM17" s="121">
        <f t="shared" si="10"/>
        <v>0.1222</v>
      </c>
      <c r="BN17" s="110">
        <v>1.8409</v>
      </c>
      <c r="BO17" s="122">
        <f t="shared" si="11"/>
        <v>1.7408999999999999</v>
      </c>
      <c r="BR17" s="108" t="str">
        <f>$F$17</f>
        <v>20475</v>
      </c>
      <c r="BS17" s="123">
        <v>5.8</v>
      </c>
      <c r="BT17" s="110">
        <v>0.220303199206309</v>
      </c>
      <c r="BU17" s="110">
        <v>0.21662486881710599</v>
      </c>
      <c r="BV17" s="110">
        <v>0.22</v>
      </c>
      <c r="BW17" s="110">
        <v>3.7617473762851898E-2</v>
      </c>
      <c r="BX17" s="110">
        <v>3.9840910605338703E-2</v>
      </c>
      <c r="BY17" s="124">
        <v>3.7999999999999999E-2</v>
      </c>
    </row>
    <row r="18" spans="1:77" s="16" customFormat="1" ht="18" customHeight="1" x14ac:dyDescent="0.2">
      <c r="A18" s="42">
        <v>11</v>
      </c>
      <c r="B18" s="43" t="s">
        <v>81</v>
      </c>
      <c r="C18" s="42" t="s">
        <v>82</v>
      </c>
      <c r="D18" s="42" t="s">
        <v>83</v>
      </c>
      <c r="E18" s="86"/>
      <c r="F18" s="104" t="s">
        <v>11</v>
      </c>
      <c r="G18" s="105">
        <v>139</v>
      </c>
      <c r="H18" s="106">
        <f t="shared" si="3"/>
        <v>135</v>
      </c>
      <c r="I18" s="106">
        <v>162</v>
      </c>
      <c r="J18" s="106">
        <f t="shared" si="4"/>
        <v>155</v>
      </c>
      <c r="K18" s="106">
        <v>182</v>
      </c>
      <c r="L18" s="107">
        <f t="shared" si="5"/>
        <v>165</v>
      </c>
      <c r="N18" s="86"/>
      <c r="O18" s="108" t="str">
        <f>$F$18</f>
        <v>24471</v>
      </c>
      <c r="P18" s="109">
        <v>159.27442331981399</v>
      </c>
      <c r="Q18" s="106">
        <f t="shared" si="6"/>
        <v>155</v>
      </c>
      <c r="R18" s="110">
        <v>9.0883029940220697E-2</v>
      </c>
      <c r="S18" s="110">
        <v>0.15</v>
      </c>
      <c r="T18" s="106">
        <v>59.069175614595203</v>
      </c>
      <c r="U18" s="106">
        <f t="shared" si="0"/>
        <v>55</v>
      </c>
      <c r="V18" s="110">
        <v>7.9260237780713297E-2</v>
      </c>
      <c r="W18" s="110">
        <v>0.6</v>
      </c>
      <c r="X18" s="106">
        <v>98.179209685801993</v>
      </c>
      <c r="Y18" s="107">
        <f>FLOOR(SUM(X18-(X18*0.05)),5)</f>
        <v>90</v>
      </c>
      <c r="Z18" s="86"/>
      <c r="AB18" s="108" t="str">
        <f>$F$18</f>
        <v>24471</v>
      </c>
      <c r="AC18" s="111">
        <v>0.71699999999999997</v>
      </c>
      <c r="AD18" s="112">
        <v>0.82</v>
      </c>
      <c r="AE18" s="112">
        <v>0.61837455830400001</v>
      </c>
      <c r="AF18" s="112">
        <v>0.75</v>
      </c>
      <c r="AG18" s="112">
        <v>0.11899999999999999</v>
      </c>
      <c r="AH18" s="112">
        <v>0.04</v>
      </c>
      <c r="AI18" s="113">
        <v>10.9</v>
      </c>
      <c r="AJ18" s="107">
        <v>10</v>
      </c>
      <c r="AM18" s="108" t="str">
        <f>$F$18</f>
        <v>24471</v>
      </c>
      <c r="AN18" s="114">
        <v>0.21935497979294699</v>
      </c>
      <c r="AO18" s="114">
        <f t="shared" si="15"/>
        <v>0.26935497979294698</v>
      </c>
      <c r="AP18" s="115">
        <v>244</v>
      </c>
      <c r="AQ18" s="106">
        <f t="shared" si="12"/>
        <v>268.40000000000003</v>
      </c>
      <c r="AR18" s="106">
        <v>25.362637362637361</v>
      </c>
      <c r="AS18" s="106">
        <f t="shared" si="7"/>
        <v>27.898901098901099</v>
      </c>
      <c r="AT18" s="116">
        <v>2.7199074074074074E-3</v>
      </c>
      <c r="AU18" s="117" t="s">
        <v>40</v>
      </c>
      <c r="AV18" s="118">
        <v>2.0833333333333333E-3</v>
      </c>
      <c r="AW18" s="119">
        <v>4.2673410404624201</v>
      </c>
      <c r="AX18" s="120" t="s">
        <v>27</v>
      </c>
      <c r="BA18" s="108" t="str">
        <f>$F$18</f>
        <v>24471</v>
      </c>
      <c r="BB18" s="115">
        <v>41</v>
      </c>
      <c r="BC18" s="106">
        <f t="shared" si="8"/>
        <v>63</v>
      </c>
      <c r="BD18" s="106">
        <v>10</v>
      </c>
      <c r="BE18" s="106">
        <f t="shared" si="9"/>
        <v>9.4499999999999993</v>
      </c>
      <c r="BF18" s="106">
        <v>1</v>
      </c>
      <c r="BG18" s="106">
        <v>11</v>
      </c>
      <c r="BH18" s="106">
        <f t="shared" si="2"/>
        <v>52</v>
      </c>
      <c r="BI18" s="106">
        <v>73</v>
      </c>
      <c r="BJ18" s="110">
        <v>0.4</v>
      </c>
      <c r="BK18" s="121">
        <f t="shared" si="16"/>
        <v>0.30000000000000004</v>
      </c>
      <c r="BL18" s="110">
        <v>0.16669999999999999</v>
      </c>
      <c r="BM18" s="121">
        <f t="shared" si="10"/>
        <v>6.6699999999999982E-2</v>
      </c>
      <c r="BN18" s="110">
        <v>3.2222</v>
      </c>
      <c r="BO18" s="122">
        <f t="shared" si="11"/>
        <v>3.1221999999999999</v>
      </c>
      <c r="BR18" s="108" t="str">
        <f>$F$18</f>
        <v>24471</v>
      </c>
      <c r="BS18" s="123">
        <v>5.4</v>
      </c>
      <c r="BT18" s="110">
        <v>0.23512994184122199</v>
      </c>
      <c r="BU18" s="110">
        <v>0.226015605934341</v>
      </c>
      <c r="BV18" s="110">
        <v>0.2175</v>
      </c>
      <c r="BW18" s="110">
        <v>5.6890138462474898E-2</v>
      </c>
      <c r="BX18" s="110">
        <v>5.75445315910212E-2</v>
      </c>
      <c r="BY18" s="124">
        <v>4.4999999999999998E-2</v>
      </c>
    </row>
    <row r="19" spans="1:77" s="16" customFormat="1" ht="18" customHeight="1" x14ac:dyDescent="0.2">
      <c r="A19" s="40">
        <v>12</v>
      </c>
      <c r="B19" s="41" t="s">
        <v>81</v>
      </c>
      <c r="C19" s="40" t="s">
        <v>82</v>
      </c>
      <c r="D19" s="40" t="s">
        <v>85</v>
      </c>
      <c r="E19" s="86"/>
      <c r="F19" s="104" t="s">
        <v>12</v>
      </c>
      <c r="G19" s="105">
        <v>106</v>
      </c>
      <c r="H19" s="106">
        <f t="shared" si="3"/>
        <v>105</v>
      </c>
      <c r="I19" s="106">
        <v>144</v>
      </c>
      <c r="J19" s="106">
        <f t="shared" si="4"/>
        <v>140</v>
      </c>
      <c r="K19" s="106">
        <v>124</v>
      </c>
      <c r="L19" s="107">
        <f t="shared" si="5"/>
        <v>115</v>
      </c>
      <c r="N19" s="86"/>
      <c r="O19" s="108" t="str">
        <f>$F$19</f>
        <v>29760</v>
      </c>
      <c r="P19" s="109">
        <v>127.85303138130401</v>
      </c>
      <c r="Q19" s="106">
        <f t="shared" si="6"/>
        <v>120</v>
      </c>
      <c r="R19" s="110">
        <v>0.15299191880124</v>
      </c>
      <c r="S19" s="110">
        <v>0.2</v>
      </c>
      <c r="T19" s="106">
        <v>57.166538078939098</v>
      </c>
      <c r="U19" s="106">
        <f t="shared" si="0"/>
        <v>50</v>
      </c>
      <c r="V19" s="110">
        <v>0.91068279163517196</v>
      </c>
      <c r="W19" s="110">
        <v>0.95</v>
      </c>
      <c r="X19" s="106">
        <v>88.056138043927703</v>
      </c>
      <c r="Y19" s="107">
        <f>FLOOR(SUM(X19-(X19*0.05)),5)</f>
        <v>80</v>
      </c>
      <c r="Z19" s="86"/>
      <c r="AB19" s="108" t="str">
        <f>$F$19</f>
        <v>29760</v>
      </c>
      <c r="AC19" s="111">
        <v>0.82199999999999995</v>
      </c>
      <c r="AD19" s="112">
        <v>0.83</v>
      </c>
      <c r="AE19" s="112">
        <v>0.83703703703700005</v>
      </c>
      <c r="AF19" s="112">
        <v>0.85</v>
      </c>
      <c r="AG19" s="112">
        <v>3.5999999999999997E-2</v>
      </c>
      <c r="AH19" s="112">
        <v>3.5000000000000003E-2</v>
      </c>
      <c r="AI19" s="113">
        <v>8.6999999999999993</v>
      </c>
      <c r="AJ19" s="107">
        <v>8</v>
      </c>
      <c r="AM19" s="108" t="str">
        <f>$F$19</f>
        <v>29760</v>
      </c>
      <c r="AN19" s="114">
        <v>0.247494613641211</v>
      </c>
      <c r="AO19" s="114">
        <f t="shared" si="15"/>
        <v>0.29749461364121099</v>
      </c>
      <c r="AP19" s="115">
        <v>392</v>
      </c>
      <c r="AQ19" s="106">
        <f t="shared" si="12"/>
        <v>431.20000000000005</v>
      </c>
      <c r="AR19" s="106">
        <v>109.55769230769231</v>
      </c>
      <c r="AS19" s="106">
        <f t="shared" si="7"/>
        <v>120.51346153846154</v>
      </c>
      <c r="AT19" s="116">
        <v>2.5115740740740741E-3</v>
      </c>
      <c r="AU19" s="117" t="s">
        <v>40</v>
      </c>
      <c r="AV19" s="118">
        <v>2.0833333333333333E-3</v>
      </c>
      <c r="AW19" s="119">
        <v>4.3729189789123097</v>
      </c>
      <c r="AX19" s="120" t="s">
        <v>27</v>
      </c>
      <c r="BA19" s="108" t="str">
        <f>$F$19</f>
        <v>29760</v>
      </c>
      <c r="BB19" s="115">
        <v>61</v>
      </c>
      <c r="BC19" s="106">
        <f t="shared" si="8"/>
        <v>90</v>
      </c>
      <c r="BD19" s="106">
        <v>18</v>
      </c>
      <c r="BE19" s="106">
        <f t="shared" si="9"/>
        <v>13.5</v>
      </c>
      <c r="BF19" s="106">
        <v>2</v>
      </c>
      <c r="BG19" s="106">
        <v>13</v>
      </c>
      <c r="BH19" s="106">
        <f t="shared" si="2"/>
        <v>81</v>
      </c>
      <c r="BI19" s="106">
        <v>102</v>
      </c>
      <c r="BJ19" s="110">
        <v>0.33329999999999999</v>
      </c>
      <c r="BK19" s="121">
        <f t="shared" si="16"/>
        <v>0.23329999999999998</v>
      </c>
      <c r="BL19" s="110">
        <v>0.42859999999999998</v>
      </c>
      <c r="BM19" s="121">
        <f t="shared" si="10"/>
        <v>0.3286</v>
      </c>
      <c r="BN19" s="110">
        <v>1.7419</v>
      </c>
      <c r="BO19" s="122">
        <f t="shared" si="11"/>
        <v>1.6418999999999999</v>
      </c>
      <c r="BR19" s="108" t="str">
        <f>$F$19</f>
        <v>29760</v>
      </c>
      <c r="BS19" s="123">
        <v>4.9000000000000004</v>
      </c>
      <c r="BT19" s="110">
        <v>0.21946127855964001</v>
      </c>
      <c r="BU19" s="110">
        <v>0.21587114114032599</v>
      </c>
      <c r="BV19" s="110">
        <v>0.21</v>
      </c>
      <c r="BW19" s="110">
        <v>3.6021614704017699E-2</v>
      </c>
      <c r="BX19" s="110">
        <v>3.7081001060296902E-2</v>
      </c>
      <c r="BY19" s="124">
        <v>3.6999999999999998E-2</v>
      </c>
    </row>
    <row r="20" spans="1:77" s="16" customFormat="1" ht="18" customHeight="1" x14ac:dyDescent="0.2">
      <c r="A20" s="42">
        <v>13</v>
      </c>
      <c r="B20" s="43" t="s">
        <v>81</v>
      </c>
      <c r="C20" s="42" t="s">
        <v>82</v>
      </c>
      <c r="D20" s="42" t="s">
        <v>92</v>
      </c>
      <c r="E20" s="86"/>
      <c r="F20" s="104" t="s">
        <v>13</v>
      </c>
      <c r="G20" s="105">
        <v>113</v>
      </c>
      <c r="H20" s="106">
        <f t="shared" si="3"/>
        <v>110</v>
      </c>
      <c r="I20" s="106">
        <v>165</v>
      </c>
      <c r="J20" s="106">
        <f t="shared" si="4"/>
        <v>160</v>
      </c>
      <c r="K20" s="106">
        <v>149</v>
      </c>
      <c r="L20" s="107">
        <f t="shared" si="5"/>
        <v>135</v>
      </c>
      <c r="N20" s="86"/>
      <c r="O20" s="108" t="str">
        <f>$F$20</f>
        <v>31357</v>
      </c>
      <c r="P20" s="109">
        <v>144.08378840088201</v>
      </c>
      <c r="Q20" s="106">
        <f t="shared" si="6"/>
        <v>140</v>
      </c>
      <c r="R20" s="110">
        <v>0.111048044660626</v>
      </c>
      <c r="S20" s="110">
        <v>0.15</v>
      </c>
      <c r="T20" s="106">
        <v>68.990225937800304</v>
      </c>
      <c r="U20" s="106">
        <f t="shared" si="0"/>
        <v>65</v>
      </c>
      <c r="V20" s="110">
        <v>0.20847973764347599</v>
      </c>
      <c r="W20" s="110">
        <v>0.6</v>
      </c>
      <c r="X20" s="106">
        <v>78.765728376211896</v>
      </c>
      <c r="Y20" s="107">
        <v>75</v>
      </c>
      <c r="Z20" s="86"/>
      <c r="AB20" s="108" t="str">
        <f>$F$20</f>
        <v>31357</v>
      </c>
      <c r="AC20" s="111">
        <v>0.875</v>
      </c>
      <c r="AD20" s="112">
        <v>0.88</v>
      </c>
      <c r="AE20" s="112">
        <v>0.91439688716</v>
      </c>
      <c r="AF20" s="112">
        <v>0.92</v>
      </c>
      <c r="AG20" s="112">
        <v>0.03</v>
      </c>
      <c r="AH20" s="112">
        <v>2.9000000000000001E-2</v>
      </c>
      <c r="AI20" s="113">
        <v>5.4</v>
      </c>
      <c r="AJ20" s="107">
        <v>5</v>
      </c>
      <c r="AM20" s="108" t="str">
        <f>$F$20</f>
        <v>31357</v>
      </c>
      <c r="AN20" s="114">
        <v>0.249300487881807</v>
      </c>
      <c r="AO20" s="114">
        <f t="shared" si="15"/>
        <v>0.29930048788180702</v>
      </c>
      <c r="AP20" s="115">
        <v>266</v>
      </c>
      <c r="AQ20" s="106">
        <f t="shared" si="12"/>
        <v>292.60000000000002</v>
      </c>
      <c r="AR20" s="106">
        <v>22.700549450549449</v>
      </c>
      <c r="AS20" s="106">
        <f t="shared" si="7"/>
        <v>24.970604395604397</v>
      </c>
      <c r="AT20" s="116">
        <v>2.1643518518518518E-3</v>
      </c>
      <c r="AU20" s="117" t="s">
        <v>40</v>
      </c>
      <c r="AV20" s="118">
        <v>2.0833333333333333E-3</v>
      </c>
      <c r="AW20" s="119">
        <v>4.5843071786310503</v>
      </c>
      <c r="AX20" s="120" t="s">
        <v>27</v>
      </c>
      <c r="BA20" s="108" t="str">
        <f>$F$20</f>
        <v>31357</v>
      </c>
      <c r="BB20" s="115">
        <v>27</v>
      </c>
      <c r="BC20" s="106">
        <f t="shared" si="8"/>
        <v>44</v>
      </c>
      <c r="BD20" s="106">
        <v>18</v>
      </c>
      <c r="BE20" s="106">
        <f t="shared" si="9"/>
        <v>6.6</v>
      </c>
      <c r="BF20" s="106">
        <v>1</v>
      </c>
      <c r="BG20" s="106">
        <v>11</v>
      </c>
      <c r="BH20" s="106">
        <f t="shared" si="2"/>
        <v>46</v>
      </c>
      <c r="BI20" s="106">
        <v>54</v>
      </c>
      <c r="BJ20" s="110">
        <v>0</v>
      </c>
      <c r="BK20" s="121">
        <v>0.05</v>
      </c>
      <c r="BL20" s="110">
        <v>1</v>
      </c>
      <c r="BM20" s="121">
        <f t="shared" si="10"/>
        <v>0.9</v>
      </c>
      <c r="BN20" s="110">
        <v>0.84850000000000003</v>
      </c>
      <c r="BO20" s="122">
        <f t="shared" si="11"/>
        <v>0.74850000000000005</v>
      </c>
      <c r="BR20" s="108" t="str">
        <f>$F$20</f>
        <v>31357</v>
      </c>
      <c r="BS20" s="123">
        <v>6.1</v>
      </c>
      <c r="BT20" s="110">
        <v>0.22417495639909599</v>
      </c>
      <c r="BU20" s="110">
        <v>0.21774989870681299</v>
      </c>
      <c r="BV20" s="110">
        <v>0.2175</v>
      </c>
      <c r="BW20" s="110">
        <v>4.8334494304772997E-2</v>
      </c>
      <c r="BX20" s="110">
        <v>5.0315645251578799E-2</v>
      </c>
      <c r="BY20" s="124">
        <v>4.3000000000000003E-2</v>
      </c>
    </row>
    <row r="21" spans="1:77" s="16" customFormat="1" ht="18" customHeight="1" x14ac:dyDescent="0.2">
      <c r="A21" s="40">
        <v>14</v>
      </c>
      <c r="B21" s="41" t="s">
        <v>81</v>
      </c>
      <c r="C21" s="40" t="s">
        <v>82</v>
      </c>
      <c r="D21" s="40" t="s">
        <v>83</v>
      </c>
      <c r="E21" s="86"/>
      <c r="F21" s="104" t="s">
        <v>14</v>
      </c>
      <c r="G21" s="105">
        <v>102</v>
      </c>
      <c r="H21" s="106">
        <f t="shared" si="3"/>
        <v>100</v>
      </c>
      <c r="I21" s="106">
        <v>149</v>
      </c>
      <c r="J21" s="106">
        <f t="shared" si="4"/>
        <v>145</v>
      </c>
      <c r="K21" s="106">
        <v>185</v>
      </c>
      <c r="L21" s="107">
        <f t="shared" si="5"/>
        <v>170</v>
      </c>
      <c r="N21" s="86"/>
      <c r="O21" s="108" t="str">
        <f>$F$21</f>
        <v>32525</v>
      </c>
      <c r="P21" s="109">
        <v>143.47620132598601</v>
      </c>
      <c r="Q21" s="106">
        <f t="shared" si="6"/>
        <v>135</v>
      </c>
      <c r="R21" s="110">
        <v>0.107342203108901</v>
      </c>
      <c r="S21" s="110">
        <v>0.15</v>
      </c>
      <c r="T21" s="106">
        <v>41.574218547071403</v>
      </c>
      <c r="U21" s="106">
        <v>40</v>
      </c>
      <c r="V21" s="110">
        <v>8.3612040133779209E-3</v>
      </c>
      <c r="W21" s="110">
        <v>0.55000000000000004</v>
      </c>
      <c r="X21" s="106">
        <v>92.799792354974997</v>
      </c>
      <c r="Y21" s="107">
        <v>85</v>
      </c>
      <c r="Z21" s="86"/>
      <c r="AB21" s="108" t="str">
        <f>$F$21</f>
        <v>32525</v>
      </c>
      <c r="AC21" s="111">
        <v>0.81599999999999995</v>
      </c>
      <c r="AD21" s="112">
        <v>0.82</v>
      </c>
      <c r="AE21" s="112">
        <v>0.73654390934799996</v>
      </c>
      <c r="AF21" s="112">
        <v>0.75</v>
      </c>
      <c r="AG21" s="112">
        <v>5.1999999999999998E-2</v>
      </c>
      <c r="AH21" s="112">
        <v>0.04</v>
      </c>
      <c r="AI21" s="113">
        <v>7.3</v>
      </c>
      <c r="AJ21" s="107">
        <v>7</v>
      </c>
      <c r="AM21" s="108" t="str">
        <f>$F$21</f>
        <v>32525</v>
      </c>
      <c r="AN21" s="114">
        <v>0.26417560725707001</v>
      </c>
      <c r="AO21" s="114">
        <f t="shared" si="15"/>
        <v>0.31417560725707</v>
      </c>
      <c r="AP21" s="115">
        <v>216</v>
      </c>
      <c r="AQ21" s="106">
        <f t="shared" si="12"/>
        <v>237.60000000000002</v>
      </c>
      <c r="AR21" s="106">
        <v>14.667582417582418</v>
      </c>
      <c r="AS21" s="106">
        <f t="shared" si="7"/>
        <v>16.134340659340662</v>
      </c>
      <c r="AT21" s="116">
        <v>2.1643518518518518E-3</v>
      </c>
      <c r="AU21" s="117" t="s">
        <v>40</v>
      </c>
      <c r="AV21" s="118">
        <v>2.0833333333333333E-3</v>
      </c>
      <c r="AW21" s="119">
        <v>4.3384223918574998</v>
      </c>
      <c r="AX21" s="120" t="s">
        <v>27</v>
      </c>
      <c r="BA21" s="108" t="str">
        <f>$F$21</f>
        <v>32525</v>
      </c>
      <c r="BB21" s="115">
        <v>31</v>
      </c>
      <c r="BC21" s="106">
        <f t="shared" si="8"/>
        <v>34</v>
      </c>
      <c r="BD21" s="106">
        <v>8</v>
      </c>
      <c r="BE21" s="106">
        <f t="shared" si="9"/>
        <v>5.0999999999999996</v>
      </c>
      <c r="BF21" s="106">
        <v>1</v>
      </c>
      <c r="BG21" s="106">
        <v>9</v>
      </c>
      <c r="BH21" s="106">
        <f t="shared" si="2"/>
        <v>40</v>
      </c>
      <c r="BI21" s="106">
        <v>42</v>
      </c>
      <c r="BJ21" s="110">
        <v>0.5</v>
      </c>
      <c r="BK21" s="121">
        <f t="shared" si="16"/>
        <v>0.4</v>
      </c>
      <c r="BL21" s="110">
        <v>0.5</v>
      </c>
      <c r="BM21" s="121">
        <f t="shared" si="10"/>
        <v>0.4</v>
      </c>
      <c r="BN21" s="110">
        <v>2.1515</v>
      </c>
      <c r="BO21" s="122">
        <f t="shared" si="11"/>
        <v>2.0514999999999999</v>
      </c>
      <c r="BR21" s="108" t="str">
        <f>$F$21</f>
        <v>32525</v>
      </c>
      <c r="BS21" s="123">
        <v>5.3</v>
      </c>
      <c r="BT21" s="110">
        <v>0.226792607604788</v>
      </c>
      <c r="BU21" s="110">
        <v>0.212030886052682</v>
      </c>
      <c r="BV21" s="110">
        <v>0.215</v>
      </c>
      <c r="BW21" s="110">
        <v>4.6775958149233902E-2</v>
      </c>
      <c r="BX21" s="110">
        <v>5.3449620852376901E-2</v>
      </c>
      <c r="BY21" s="124">
        <v>4.4999999999999998E-2</v>
      </c>
    </row>
    <row r="22" spans="1:77" s="16" customFormat="1" ht="18" customHeight="1" x14ac:dyDescent="0.2">
      <c r="A22" s="42">
        <v>15</v>
      </c>
      <c r="B22" s="43" t="s">
        <v>81</v>
      </c>
      <c r="C22" s="42" t="s">
        <v>86</v>
      </c>
      <c r="D22" s="42" t="s">
        <v>87</v>
      </c>
      <c r="E22" s="86"/>
      <c r="F22" s="104" t="s">
        <v>15</v>
      </c>
      <c r="G22" s="105">
        <v>62</v>
      </c>
      <c r="H22" s="106">
        <f t="shared" si="3"/>
        <v>60</v>
      </c>
      <c r="I22" s="106">
        <v>82</v>
      </c>
      <c r="J22" s="106">
        <f t="shared" si="4"/>
        <v>80</v>
      </c>
      <c r="K22" s="106">
        <v>99</v>
      </c>
      <c r="L22" s="107">
        <f t="shared" si="5"/>
        <v>90</v>
      </c>
      <c r="N22" s="86"/>
      <c r="O22" s="108" t="str">
        <f>$F$22</f>
        <v>33109</v>
      </c>
      <c r="P22" s="109">
        <v>78.560148218397401</v>
      </c>
      <c r="Q22" s="106">
        <f t="shared" si="6"/>
        <v>75</v>
      </c>
      <c r="R22" s="110">
        <v>0.14424849805474901</v>
      </c>
      <c r="S22" s="110">
        <v>0.18</v>
      </c>
      <c r="T22" s="106">
        <v>44.758385657291299</v>
      </c>
      <c r="U22" s="106">
        <f t="shared" ref="U22:U30" si="17">FLOOR(SUM(T22-(T22*0.05)),5)</f>
        <v>40</v>
      </c>
      <c r="V22" s="110">
        <v>7.6267384477344104E-3</v>
      </c>
      <c r="W22" s="110">
        <v>0.55000000000000004</v>
      </c>
      <c r="X22" s="106">
        <v>78.025222610509303</v>
      </c>
      <c r="Y22" s="107">
        <v>75</v>
      </c>
      <c r="Z22" s="86"/>
      <c r="AB22" s="108" t="str">
        <f>$F$22</f>
        <v>33109</v>
      </c>
      <c r="AC22" s="111">
        <v>0.81399999999999995</v>
      </c>
      <c r="AD22" s="112">
        <v>0.82</v>
      </c>
      <c r="AE22" s="112">
        <v>0.56227758007100004</v>
      </c>
      <c r="AF22" s="112">
        <v>0.75</v>
      </c>
      <c r="AG22" s="112">
        <v>4.3999999999999997E-2</v>
      </c>
      <c r="AH22" s="112">
        <v>0.04</v>
      </c>
      <c r="AI22" s="113">
        <v>11.6</v>
      </c>
      <c r="AJ22" s="107">
        <v>10</v>
      </c>
      <c r="AM22" s="108" t="str">
        <f>$F$22</f>
        <v>33109</v>
      </c>
      <c r="AN22" s="114">
        <v>0.21187964342909499</v>
      </c>
      <c r="AO22" s="114">
        <f t="shared" si="15"/>
        <v>0.26187964342909498</v>
      </c>
      <c r="AP22" s="115">
        <v>210</v>
      </c>
      <c r="AQ22" s="106">
        <f t="shared" si="12"/>
        <v>231.00000000000003</v>
      </c>
      <c r="AR22" s="106">
        <v>6.5796703296703294</v>
      </c>
      <c r="AS22" s="106">
        <f t="shared" si="7"/>
        <v>7.2376373626373631</v>
      </c>
      <c r="AT22" s="116">
        <v>1.4467592592592592E-3</v>
      </c>
      <c r="AU22" s="117" t="s">
        <v>40</v>
      </c>
      <c r="AV22" s="118">
        <v>1.3888888888888889E-3</v>
      </c>
      <c r="AW22" s="119">
        <v>4.5257731958762797</v>
      </c>
      <c r="AX22" s="120" t="s">
        <v>27</v>
      </c>
      <c r="BA22" s="108" t="str">
        <f>$F$22</f>
        <v>33109</v>
      </c>
      <c r="BB22" s="115">
        <v>28</v>
      </c>
      <c r="BC22" s="106">
        <f t="shared" si="8"/>
        <v>27</v>
      </c>
      <c r="BD22" s="106">
        <v>7</v>
      </c>
      <c r="BE22" s="106">
        <f t="shared" si="9"/>
        <v>4.05</v>
      </c>
      <c r="BF22" s="106">
        <v>1</v>
      </c>
      <c r="BG22" s="106">
        <v>9</v>
      </c>
      <c r="BH22" s="106">
        <f t="shared" si="2"/>
        <v>36</v>
      </c>
      <c r="BI22" s="106">
        <v>35</v>
      </c>
      <c r="BJ22" s="110">
        <v>0.28570000000000001</v>
      </c>
      <c r="BK22" s="121">
        <f t="shared" si="16"/>
        <v>0.1857</v>
      </c>
      <c r="BL22" s="110">
        <v>0.5</v>
      </c>
      <c r="BM22" s="121">
        <f t="shared" si="10"/>
        <v>0.4</v>
      </c>
      <c r="BN22" s="110">
        <v>1.4516</v>
      </c>
      <c r="BO22" s="122">
        <f t="shared" si="11"/>
        <v>1.3515999999999999</v>
      </c>
      <c r="BR22" s="108" t="str">
        <f>$F$22</f>
        <v>33109</v>
      </c>
      <c r="BS22" s="123">
        <v>6.2</v>
      </c>
      <c r="BT22" s="110">
        <v>0.208621355485551</v>
      </c>
      <c r="BU22" s="110">
        <v>0.20985676442441001</v>
      </c>
      <c r="BV22" s="110">
        <v>0.215</v>
      </c>
      <c r="BW22" s="110">
        <v>4.0601258283428698E-2</v>
      </c>
      <c r="BX22" s="110">
        <v>4.0233755835011799E-2</v>
      </c>
      <c r="BY22" s="124">
        <v>3.9E-2</v>
      </c>
    </row>
    <row r="23" spans="1:77" s="16" customFormat="1" ht="18" customHeight="1" x14ac:dyDescent="0.2">
      <c r="A23" s="40">
        <v>16</v>
      </c>
      <c r="B23" s="41" t="s">
        <v>81</v>
      </c>
      <c r="C23" s="40" t="s">
        <v>82</v>
      </c>
      <c r="D23" s="40" t="s">
        <v>85</v>
      </c>
      <c r="E23" s="86"/>
      <c r="F23" s="104" t="s">
        <v>16</v>
      </c>
      <c r="G23" s="105">
        <v>104</v>
      </c>
      <c r="H23" s="106">
        <f t="shared" si="3"/>
        <v>100</v>
      </c>
      <c r="I23" s="106">
        <v>124</v>
      </c>
      <c r="J23" s="106">
        <f t="shared" si="4"/>
        <v>120</v>
      </c>
      <c r="K23" s="106">
        <v>148</v>
      </c>
      <c r="L23" s="107">
        <f t="shared" si="5"/>
        <v>135</v>
      </c>
      <c r="N23" s="86"/>
      <c r="O23" s="108" t="str">
        <f>$F$23</f>
        <v>33222</v>
      </c>
      <c r="P23" s="109">
        <v>123.84226492051199</v>
      </c>
      <c r="Q23" s="106">
        <f t="shared" si="6"/>
        <v>120</v>
      </c>
      <c r="R23" s="110">
        <v>0.29899008510001202</v>
      </c>
      <c r="S23" s="110">
        <v>0.3</v>
      </c>
      <c r="T23" s="106">
        <v>65.295038679834704</v>
      </c>
      <c r="U23" s="106">
        <f t="shared" si="17"/>
        <v>60</v>
      </c>
      <c r="V23" s="110">
        <v>0.33378287255562999</v>
      </c>
      <c r="W23" s="110">
        <v>0.6</v>
      </c>
      <c r="X23" s="106">
        <v>101.168758367875</v>
      </c>
      <c r="Y23" s="107">
        <v>90</v>
      </c>
      <c r="Z23" s="86"/>
      <c r="AB23" s="108" t="str">
        <f>$F$23</f>
        <v>33222</v>
      </c>
      <c r="AC23" s="111">
        <v>0.84399999999999997</v>
      </c>
      <c r="AD23" s="112">
        <v>0.85</v>
      </c>
      <c r="AE23" s="112">
        <v>0.830769230769</v>
      </c>
      <c r="AF23" s="112">
        <v>0.85</v>
      </c>
      <c r="AG23" s="112">
        <v>3.9E-2</v>
      </c>
      <c r="AH23" s="112">
        <v>3.5000000000000003E-2</v>
      </c>
      <c r="AI23" s="113">
        <v>4.9000000000000004</v>
      </c>
      <c r="AJ23" s="107">
        <v>5</v>
      </c>
      <c r="AM23" s="108" t="str">
        <f>$F$23</f>
        <v>33222</v>
      </c>
      <c r="AN23" s="114">
        <v>0.288480860098285</v>
      </c>
      <c r="AO23" s="114">
        <f t="shared" si="15"/>
        <v>0.33848086009828499</v>
      </c>
      <c r="AP23" s="115">
        <v>201</v>
      </c>
      <c r="AQ23" s="106">
        <f t="shared" si="12"/>
        <v>221.10000000000002</v>
      </c>
      <c r="AR23" s="106">
        <v>10.840659340659341</v>
      </c>
      <c r="AS23" s="106">
        <f t="shared" si="7"/>
        <v>11.924725274725276</v>
      </c>
      <c r="AT23" s="116">
        <v>2.2916666666666667E-3</v>
      </c>
      <c r="AU23" s="117" t="s">
        <v>40</v>
      </c>
      <c r="AV23" s="118">
        <v>2.0833333333333333E-3</v>
      </c>
      <c r="AW23" s="119">
        <v>4.2851711026615904</v>
      </c>
      <c r="AX23" s="120" t="s">
        <v>27</v>
      </c>
      <c r="BA23" s="108" t="str">
        <f>$F$23</f>
        <v>33222</v>
      </c>
      <c r="BB23" s="115">
        <v>29</v>
      </c>
      <c r="BC23" s="106">
        <f t="shared" si="8"/>
        <v>41</v>
      </c>
      <c r="BD23" s="106">
        <v>13</v>
      </c>
      <c r="BE23" s="106">
        <f t="shared" si="9"/>
        <v>6.1499999999999995</v>
      </c>
      <c r="BF23" s="106">
        <v>1</v>
      </c>
      <c r="BG23" s="106">
        <v>10</v>
      </c>
      <c r="BH23" s="106">
        <f t="shared" si="2"/>
        <v>43</v>
      </c>
      <c r="BI23" s="106">
        <v>50</v>
      </c>
      <c r="BJ23" s="110">
        <v>0.15379999999999999</v>
      </c>
      <c r="BK23" s="121">
        <f t="shared" si="16"/>
        <v>5.3799999999999987E-2</v>
      </c>
      <c r="BL23" s="110">
        <v>0.5</v>
      </c>
      <c r="BM23" s="121">
        <f t="shared" si="10"/>
        <v>0.4</v>
      </c>
      <c r="BN23" s="110">
        <v>1.5333000000000001</v>
      </c>
      <c r="BO23" s="122">
        <f t="shared" si="11"/>
        <v>1.4333</v>
      </c>
      <c r="BR23" s="108" t="str">
        <f>$F$23</f>
        <v>33222</v>
      </c>
      <c r="BS23" s="123">
        <v>4.9000000000000004</v>
      </c>
      <c r="BT23" s="110">
        <v>0.22578730215328699</v>
      </c>
      <c r="BU23" s="110">
        <v>0.215767965613957</v>
      </c>
      <c r="BV23" s="110">
        <v>0.215</v>
      </c>
      <c r="BW23" s="110">
        <v>4.6765087836977803E-2</v>
      </c>
      <c r="BX23" s="110">
        <v>5.12081993479735E-2</v>
      </c>
      <c r="BY23" s="124">
        <v>4.4999999999999998E-2</v>
      </c>
    </row>
    <row r="24" spans="1:77" s="16" customFormat="1" ht="18" customHeight="1" x14ac:dyDescent="0.2">
      <c r="A24" s="42">
        <v>17</v>
      </c>
      <c r="B24" s="43" t="s">
        <v>81</v>
      </c>
      <c r="C24" s="42" t="s">
        <v>84</v>
      </c>
      <c r="D24" s="42" t="s">
        <v>91</v>
      </c>
      <c r="E24" s="86"/>
      <c r="F24" s="104" t="s">
        <v>17</v>
      </c>
      <c r="G24" s="105">
        <v>118</v>
      </c>
      <c r="H24" s="106">
        <f t="shared" si="3"/>
        <v>115</v>
      </c>
      <c r="I24" s="106">
        <v>144</v>
      </c>
      <c r="J24" s="106">
        <f t="shared" si="4"/>
        <v>140</v>
      </c>
      <c r="K24" s="106">
        <v>191</v>
      </c>
      <c r="L24" s="107">
        <f t="shared" si="5"/>
        <v>175</v>
      </c>
      <c r="N24" s="86"/>
      <c r="O24" s="108" t="str">
        <f>$F$24</f>
        <v>33704</v>
      </c>
      <c r="P24" s="109">
        <v>145.674157838139</v>
      </c>
      <c r="Q24" s="106">
        <f t="shared" si="6"/>
        <v>140</v>
      </c>
      <c r="R24" s="110">
        <v>5.7256651266528499E-2</v>
      </c>
      <c r="S24" s="110">
        <v>0.13</v>
      </c>
      <c r="T24" s="106">
        <v>67.314822392012104</v>
      </c>
      <c r="U24" s="106">
        <f t="shared" si="17"/>
        <v>60</v>
      </c>
      <c r="V24" s="110">
        <v>0.38417594972864799</v>
      </c>
      <c r="W24" s="110">
        <v>0.6</v>
      </c>
      <c r="X24" s="106">
        <v>84.420762009842207</v>
      </c>
      <c r="Y24" s="107">
        <f>FLOOR(SUM(X24-(X24*0.05)),5)</f>
        <v>80</v>
      </c>
      <c r="Z24" s="86"/>
      <c r="AB24" s="108" t="str">
        <f>$F$24</f>
        <v>33704</v>
      </c>
      <c r="AC24" s="111">
        <v>0.86599999999999999</v>
      </c>
      <c r="AD24" s="112">
        <v>0.87</v>
      </c>
      <c r="AE24" s="112">
        <v>0.84799999999999998</v>
      </c>
      <c r="AF24" s="112">
        <v>0.85</v>
      </c>
      <c r="AG24" s="112">
        <v>0.03</v>
      </c>
      <c r="AH24" s="112">
        <v>2.9000000000000001E-2</v>
      </c>
      <c r="AI24" s="113">
        <v>1.9</v>
      </c>
      <c r="AJ24" s="107">
        <v>2</v>
      </c>
      <c r="AM24" s="108" t="str">
        <f>$F$24</f>
        <v>33704</v>
      </c>
      <c r="AN24" s="114">
        <v>0.33208622347945299</v>
      </c>
      <c r="AO24" s="114">
        <f t="shared" si="15"/>
        <v>0.38208622347945298</v>
      </c>
      <c r="AP24" s="115">
        <v>333</v>
      </c>
      <c r="AQ24" s="106">
        <f t="shared" si="12"/>
        <v>366.3</v>
      </c>
      <c r="AR24" s="106">
        <v>19.478021978021978</v>
      </c>
      <c r="AS24" s="106">
        <f t="shared" si="7"/>
        <v>21.425824175824179</v>
      </c>
      <c r="AT24" s="116">
        <v>1.9328703703703704E-3</v>
      </c>
      <c r="AU24" s="117" t="s">
        <v>40</v>
      </c>
      <c r="AV24" s="118">
        <v>1.9097222222222222E-3</v>
      </c>
      <c r="AW24" s="119">
        <v>4.5621521335806996</v>
      </c>
      <c r="AX24" s="120" t="s">
        <v>27</v>
      </c>
      <c r="BA24" s="108" t="str">
        <f>$F$24</f>
        <v>33704</v>
      </c>
      <c r="BB24" s="115">
        <v>32</v>
      </c>
      <c r="BC24" s="106">
        <f t="shared" si="8"/>
        <v>39</v>
      </c>
      <c r="BD24" s="106">
        <v>9</v>
      </c>
      <c r="BE24" s="106">
        <f t="shared" si="9"/>
        <v>5.85</v>
      </c>
      <c r="BF24" s="106">
        <v>3</v>
      </c>
      <c r="BG24" s="106">
        <v>10</v>
      </c>
      <c r="BH24" s="106">
        <f t="shared" si="2"/>
        <v>44</v>
      </c>
      <c r="BI24" s="106">
        <v>48</v>
      </c>
      <c r="BJ24" s="110">
        <v>0.77780000000000005</v>
      </c>
      <c r="BK24" s="121">
        <f t="shared" si="16"/>
        <v>0.67780000000000007</v>
      </c>
      <c r="BL24" s="110">
        <v>0</v>
      </c>
      <c r="BM24" s="121">
        <f t="shared" si="10"/>
        <v>-0.1</v>
      </c>
      <c r="BN24" s="110">
        <v>1.9697</v>
      </c>
      <c r="BO24" s="122">
        <f t="shared" si="11"/>
        <v>1.8696999999999999</v>
      </c>
      <c r="BR24" s="108" t="str">
        <f>$F$24</f>
        <v>33704</v>
      </c>
      <c r="BS24" s="123">
        <v>5.4</v>
      </c>
      <c r="BT24" s="110">
        <v>0.21492413869363899</v>
      </c>
      <c r="BU24" s="110">
        <v>0.21809217501262601</v>
      </c>
      <c r="BV24" s="110">
        <v>0.215</v>
      </c>
      <c r="BW24" s="110">
        <v>4.1103063250116298E-2</v>
      </c>
      <c r="BX24" s="110">
        <v>4.6987884687805903E-2</v>
      </c>
      <c r="BY24" s="124">
        <v>4.1000000000000002E-2</v>
      </c>
    </row>
    <row r="25" spans="1:77" s="16" customFormat="1" ht="18" customHeight="1" x14ac:dyDescent="0.2">
      <c r="A25" s="40">
        <v>18</v>
      </c>
      <c r="B25" s="41" t="s">
        <v>81</v>
      </c>
      <c r="C25" s="40" t="s">
        <v>84</v>
      </c>
      <c r="D25" s="40" t="s">
        <v>91</v>
      </c>
      <c r="E25" s="86"/>
      <c r="F25" s="104" t="s">
        <v>18</v>
      </c>
      <c r="G25" s="105">
        <v>115</v>
      </c>
      <c r="H25" s="106">
        <f t="shared" si="3"/>
        <v>110</v>
      </c>
      <c r="I25" s="106">
        <v>134</v>
      </c>
      <c r="J25" s="106">
        <f t="shared" si="4"/>
        <v>130</v>
      </c>
      <c r="K25" s="106">
        <v>138</v>
      </c>
      <c r="L25" s="107">
        <f t="shared" si="5"/>
        <v>125</v>
      </c>
      <c r="N25" s="86"/>
      <c r="O25" s="108" t="str">
        <f>$F$25</f>
        <v>34222</v>
      </c>
      <c r="P25" s="109">
        <v>128.53582314389001</v>
      </c>
      <c r="Q25" s="106">
        <f t="shared" si="6"/>
        <v>125</v>
      </c>
      <c r="R25" s="110">
        <v>7.2074646189561997E-2</v>
      </c>
      <c r="S25" s="110">
        <v>0.12</v>
      </c>
      <c r="T25" s="106">
        <v>48.155915636546098</v>
      </c>
      <c r="U25" s="106">
        <f t="shared" si="17"/>
        <v>45</v>
      </c>
      <c r="V25" s="110">
        <v>0.133592736705577</v>
      </c>
      <c r="W25" s="110">
        <v>0.55000000000000004</v>
      </c>
      <c r="X25" s="106">
        <v>77.315275473741195</v>
      </c>
      <c r="Y25" s="107">
        <v>75</v>
      </c>
      <c r="Z25" s="86"/>
      <c r="AB25" s="108" t="str">
        <f>$F$25</f>
        <v>34222</v>
      </c>
      <c r="AC25" s="111">
        <v>0.85899999999999999</v>
      </c>
      <c r="AD25" s="112">
        <v>0.86</v>
      </c>
      <c r="AE25" s="112">
        <v>0.89227642276399999</v>
      </c>
      <c r="AF25" s="112">
        <v>0.9</v>
      </c>
      <c r="AG25" s="112">
        <v>3.7999999999999999E-2</v>
      </c>
      <c r="AH25" s="112">
        <v>3.6999999999999998E-2</v>
      </c>
      <c r="AI25" s="113">
        <v>6.4</v>
      </c>
      <c r="AJ25" s="107">
        <v>6</v>
      </c>
      <c r="AM25" s="108" t="str">
        <f>$F$25</f>
        <v>34222</v>
      </c>
      <c r="AN25" s="114">
        <v>0.30535284475976099</v>
      </c>
      <c r="AO25" s="114">
        <f t="shared" si="15"/>
        <v>0.35535284475976098</v>
      </c>
      <c r="AP25" s="115">
        <v>253</v>
      </c>
      <c r="AQ25" s="106">
        <f t="shared" si="12"/>
        <v>278.3</v>
      </c>
      <c r="AR25" s="106">
        <v>13.747252747252746</v>
      </c>
      <c r="AS25" s="106">
        <f t="shared" si="7"/>
        <v>15.121978021978022</v>
      </c>
      <c r="AT25" s="116">
        <v>2.4074074074074076E-3</v>
      </c>
      <c r="AU25" s="117" t="s">
        <v>40</v>
      </c>
      <c r="AV25" s="118">
        <v>2.0833333333333333E-3</v>
      </c>
      <c r="AW25" s="119">
        <v>4.3416289592760098</v>
      </c>
      <c r="AX25" s="120" t="s">
        <v>27</v>
      </c>
      <c r="BA25" s="108" t="str">
        <f>$F$25</f>
        <v>34222</v>
      </c>
      <c r="BB25" s="115">
        <v>34</v>
      </c>
      <c r="BC25" s="106">
        <f t="shared" si="8"/>
        <v>39</v>
      </c>
      <c r="BD25" s="106">
        <v>14</v>
      </c>
      <c r="BE25" s="106">
        <f t="shared" si="9"/>
        <v>5.85</v>
      </c>
      <c r="BF25" s="106">
        <v>2</v>
      </c>
      <c r="BG25" s="106">
        <v>10</v>
      </c>
      <c r="BH25" s="106">
        <f t="shared" si="2"/>
        <v>50</v>
      </c>
      <c r="BI25" s="106">
        <v>48</v>
      </c>
      <c r="BJ25" s="110">
        <v>0.5</v>
      </c>
      <c r="BK25" s="121">
        <f t="shared" si="16"/>
        <v>0.4</v>
      </c>
      <c r="BL25" s="110">
        <v>0</v>
      </c>
      <c r="BM25" s="121">
        <f t="shared" si="10"/>
        <v>-0.1</v>
      </c>
      <c r="BN25" s="110">
        <v>2.2646999999999999</v>
      </c>
      <c r="BO25" s="122">
        <f t="shared" si="11"/>
        <v>2.1646999999999998</v>
      </c>
      <c r="BR25" s="108" t="str">
        <f>$F$25</f>
        <v>34222</v>
      </c>
      <c r="BS25" s="123">
        <v>5</v>
      </c>
      <c r="BT25" s="110">
        <v>0.21809619552312701</v>
      </c>
      <c r="BU25" s="110">
        <v>0.216654166397105</v>
      </c>
      <c r="BV25" s="110">
        <v>0.215</v>
      </c>
      <c r="BW25" s="110">
        <v>3.9903356462028403E-2</v>
      </c>
      <c r="BX25" s="110">
        <v>4.04739822505314E-2</v>
      </c>
      <c r="BY25" s="124">
        <v>3.7999999999999999E-2</v>
      </c>
    </row>
    <row r="26" spans="1:77" s="16" customFormat="1" ht="18" customHeight="1" x14ac:dyDescent="0.2">
      <c r="A26" s="42">
        <v>19</v>
      </c>
      <c r="B26" s="43" t="s">
        <v>81</v>
      </c>
      <c r="C26" s="42" t="s">
        <v>86</v>
      </c>
      <c r="D26" s="42" t="s">
        <v>91</v>
      </c>
      <c r="E26" s="86"/>
      <c r="F26" s="104" t="s">
        <v>19</v>
      </c>
      <c r="G26" s="105">
        <v>108</v>
      </c>
      <c r="H26" s="106">
        <f t="shared" si="3"/>
        <v>105</v>
      </c>
      <c r="I26" s="106">
        <v>148</v>
      </c>
      <c r="J26" s="106">
        <f t="shared" si="4"/>
        <v>145</v>
      </c>
      <c r="K26" s="106">
        <v>144</v>
      </c>
      <c r="L26" s="107">
        <f t="shared" si="5"/>
        <v>130</v>
      </c>
      <c r="N26" s="86"/>
      <c r="O26" s="108" t="str">
        <f>$F$26</f>
        <v>35064</v>
      </c>
      <c r="P26" s="109">
        <v>134.649925141561</v>
      </c>
      <c r="Q26" s="106">
        <f t="shared" si="6"/>
        <v>130</v>
      </c>
      <c r="R26" s="110">
        <v>0.129610374323157</v>
      </c>
      <c r="S26" s="110">
        <v>0.15</v>
      </c>
      <c r="T26" s="106">
        <v>49.143517590832602</v>
      </c>
      <c r="U26" s="106">
        <f t="shared" si="17"/>
        <v>45</v>
      </c>
      <c r="V26" s="110">
        <v>4.7008547008547001E-2</v>
      </c>
      <c r="W26" s="110">
        <v>0.55000000000000004</v>
      </c>
      <c r="X26" s="106">
        <v>60.035192298105599</v>
      </c>
      <c r="Y26" s="107">
        <v>60</v>
      </c>
      <c r="Z26" s="86"/>
      <c r="AB26" s="108" t="str">
        <f>$F$26</f>
        <v>35064</v>
      </c>
      <c r="AC26" s="111">
        <v>0.79800000000000004</v>
      </c>
      <c r="AD26" s="112">
        <v>0.82</v>
      </c>
      <c r="AE26" s="112">
        <v>0.74468085106399995</v>
      </c>
      <c r="AF26" s="112">
        <v>0.75</v>
      </c>
      <c r="AG26" s="112">
        <v>3.5000000000000003E-2</v>
      </c>
      <c r="AH26" s="112">
        <v>3.4000000000000002E-2</v>
      </c>
      <c r="AI26" s="113">
        <v>10.199999999999999</v>
      </c>
      <c r="AJ26" s="107">
        <v>10</v>
      </c>
      <c r="AM26" s="108" t="str">
        <f>$F$26</f>
        <v>35064</v>
      </c>
      <c r="AN26" s="114">
        <v>0.27879444071892601</v>
      </c>
      <c r="AO26" s="114">
        <f t="shared" si="15"/>
        <v>0.328794440718926</v>
      </c>
      <c r="AP26" s="115">
        <v>213</v>
      </c>
      <c r="AQ26" s="106">
        <f t="shared" si="12"/>
        <v>234.3</v>
      </c>
      <c r="AR26" s="106">
        <v>0.53021978021978022</v>
      </c>
      <c r="AS26" s="106">
        <f t="shared" si="7"/>
        <v>0.58324175824175828</v>
      </c>
      <c r="AT26" s="116">
        <v>1.6550925925925926E-3</v>
      </c>
      <c r="AU26" s="117" t="s">
        <v>40</v>
      </c>
      <c r="AV26" s="118">
        <v>1.3888888888888889E-3</v>
      </c>
      <c r="AW26" s="119">
        <v>4.4761904761904701</v>
      </c>
      <c r="AX26" s="120" t="s">
        <v>27</v>
      </c>
      <c r="BA26" s="108" t="str">
        <f>$F$26</f>
        <v>35064</v>
      </c>
      <c r="BB26" s="115">
        <v>39</v>
      </c>
      <c r="BC26" s="106">
        <f t="shared" si="8"/>
        <v>42</v>
      </c>
      <c r="BD26" s="106">
        <v>10</v>
      </c>
      <c r="BE26" s="106">
        <f t="shared" si="9"/>
        <v>6.3</v>
      </c>
      <c r="BF26" s="106">
        <v>5</v>
      </c>
      <c r="BG26" s="106">
        <v>9</v>
      </c>
      <c r="BH26" s="106">
        <f t="shared" si="2"/>
        <v>54</v>
      </c>
      <c r="BI26" s="106">
        <v>50</v>
      </c>
      <c r="BJ26" s="110">
        <v>0.6</v>
      </c>
      <c r="BK26" s="121">
        <f t="shared" si="16"/>
        <v>0.5</v>
      </c>
      <c r="BL26" s="110">
        <v>0.33329999999999999</v>
      </c>
      <c r="BM26" s="121">
        <f t="shared" si="10"/>
        <v>0.23329999999999998</v>
      </c>
      <c r="BN26" s="110">
        <v>1.7142999999999999</v>
      </c>
      <c r="BO26" s="122">
        <f t="shared" si="11"/>
        <v>1.6142999999999998</v>
      </c>
      <c r="BR26" s="108" t="str">
        <f>$F$26</f>
        <v>35064</v>
      </c>
      <c r="BS26" s="123">
        <v>4.9000000000000004</v>
      </c>
      <c r="BT26" s="110">
        <v>0.21885430027993699</v>
      </c>
      <c r="BU26" s="110">
        <v>0.234635198569901</v>
      </c>
      <c r="BV26" s="110">
        <v>0.22</v>
      </c>
      <c r="BW26" s="110">
        <v>6.2300984970324297E-2</v>
      </c>
      <c r="BX26" s="110">
        <v>5.9659503361539801E-2</v>
      </c>
      <c r="BY26" s="124">
        <v>4.5999999999999999E-2</v>
      </c>
    </row>
    <row r="27" spans="1:77" s="16" customFormat="1" ht="18" customHeight="1" x14ac:dyDescent="0.2">
      <c r="A27" s="40">
        <v>24</v>
      </c>
      <c r="B27" s="41" t="s">
        <v>88</v>
      </c>
      <c r="C27" s="40" t="s">
        <v>89</v>
      </c>
      <c r="D27" s="40" t="s">
        <v>90</v>
      </c>
      <c r="E27" s="86"/>
      <c r="F27" s="104">
        <v>35242</v>
      </c>
      <c r="G27" s="105"/>
      <c r="H27" s="106">
        <v>145</v>
      </c>
      <c r="I27" s="106"/>
      <c r="J27" s="106">
        <v>160</v>
      </c>
      <c r="K27" s="106"/>
      <c r="L27" s="107">
        <v>130</v>
      </c>
      <c r="N27" s="86"/>
      <c r="O27" s="108">
        <f>$F$27</f>
        <v>35242</v>
      </c>
      <c r="P27" s="109"/>
      <c r="Q27" s="106">
        <v>150</v>
      </c>
      <c r="R27" s="110"/>
      <c r="S27" s="110">
        <v>0.12</v>
      </c>
      <c r="T27" s="106"/>
      <c r="U27" s="106">
        <v>50</v>
      </c>
      <c r="V27" s="110"/>
      <c r="W27" s="110">
        <v>0.3</v>
      </c>
      <c r="X27" s="106"/>
      <c r="Y27" s="107">
        <v>100</v>
      </c>
      <c r="Z27" s="86"/>
      <c r="AB27" s="108">
        <f>$F$27</f>
        <v>35242</v>
      </c>
      <c r="AC27" s="111"/>
      <c r="AD27" s="112">
        <v>0.7</v>
      </c>
      <c r="AE27" s="112"/>
      <c r="AF27" s="112">
        <v>0.73</v>
      </c>
      <c r="AG27" s="112"/>
      <c r="AH27" s="112">
        <v>8.5000000000000006E-2</v>
      </c>
      <c r="AI27" s="113">
        <v>15.6</v>
      </c>
      <c r="AJ27" s="107">
        <v>14</v>
      </c>
      <c r="AM27" s="108">
        <f>$F$27</f>
        <v>35242</v>
      </c>
      <c r="AN27" s="114">
        <v>0.22650000000000001</v>
      </c>
      <c r="AO27" s="114">
        <f t="shared" si="15"/>
        <v>0.27650000000000002</v>
      </c>
      <c r="AP27" s="115">
        <v>187</v>
      </c>
      <c r="AQ27" s="106">
        <f t="shared" si="12"/>
        <v>205.70000000000002</v>
      </c>
      <c r="AR27" s="106">
        <v>7.1</v>
      </c>
      <c r="AS27" s="106">
        <f t="shared" si="7"/>
        <v>7.8100000000000005</v>
      </c>
      <c r="AT27" s="116"/>
      <c r="AU27" s="117" t="s">
        <v>40</v>
      </c>
      <c r="AV27" s="118">
        <v>2.4305555555555556E-3</v>
      </c>
      <c r="AW27" s="119"/>
      <c r="AX27" s="120" t="s">
        <v>27</v>
      </c>
      <c r="BA27" s="108">
        <f>$F$27</f>
        <v>35242</v>
      </c>
      <c r="BB27" s="115"/>
      <c r="BC27" s="106">
        <f t="shared" si="8"/>
        <v>52</v>
      </c>
      <c r="BD27" s="106"/>
      <c r="BE27" s="106">
        <f t="shared" si="9"/>
        <v>7.8</v>
      </c>
      <c r="BF27" s="106"/>
      <c r="BG27" s="106">
        <v>9</v>
      </c>
      <c r="BH27" s="106"/>
      <c r="BI27" s="106">
        <v>60</v>
      </c>
      <c r="BJ27" s="110"/>
      <c r="BK27" s="121">
        <v>0.25</v>
      </c>
      <c r="BL27" s="110"/>
      <c r="BM27" s="121">
        <v>0.5</v>
      </c>
      <c r="BN27" s="110"/>
      <c r="BO27" s="122">
        <v>0.8</v>
      </c>
      <c r="BR27" s="108">
        <f>$F$27</f>
        <v>35242</v>
      </c>
      <c r="BS27" s="123">
        <v>5.9</v>
      </c>
      <c r="BT27" s="110"/>
      <c r="BU27" s="110"/>
      <c r="BV27" s="110">
        <v>0.23</v>
      </c>
      <c r="BW27" s="110"/>
      <c r="BX27" s="110"/>
      <c r="BY27" s="124">
        <v>0.04</v>
      </c>
    </row>
    <row r="28" spans="1:77" s="16" customFormat="1" ht="18" customHeight="1" x14ac:dyDescent="0.2">
      <c r="A28" s="42">
        <v>25</v>
      </c>
      <c r="B28" s="43" t="s">
        <v>88</v>
      </c>
      <c r="C28" s="42" t="s">
        <v>82</v>
      </c>
      <c r="D28" s="42" t="s">
        <v>90</v>
      </c>
      <c r="E28" s="86"/>
      <c r="F28" s="104">
        <v>37566</v>
      </c>
      <c r="G28" s="105"/>
      <c r="H28" s="106">
        <v>150</v>
      </c>
      <c r="I28" s="106"/>
      <c r="J28" s="106">
        <v>190</v>
      </c>
      <c r="K28" s="106"/>
      <c r="L28" s="107">
        <v>155</v>
      </c>
      <c r="N28" s="86"/>
      <c r="O28" s="108">
        <f>$F$28</f>
        <v>37566</v>
      </c>
      <c r="P28" s="109"/>
      <c r="Q28" s="106">
        <v>165</v>
      </c>
      <c r="R28" s="110"/>
      <c r="S28" s="110">
        <v>0.12</v>
      </c>
      <c r="T28" s="106"/>
      <c r="U28" s="106">
        <v>70</v>
      </c>
      <c r="V28" s="110"/>
      <c r="W28" s="110">
        <v>0.4</v>
      </c>
      <c r="X28" s="106"/>
      <c r="Y28" s="107">
        <v>90</v>
      </c>
      <c r="Z28" s="86"/>
      <c r="AB28" s="108">
        <f>$F$28</f>
        <v>37566</v>
      </c>
      <c r="AC28" s="111"/>
      <c r="AD28" s="112">
        <v>0.7</v>
      </c>
      <c r="AE28" s="112"/>
      <c r="AF28" s="112">
        <v>0.7</v>
      </c>
      <c r="AG28" s="112"/>
      <c r="AH28" s="112">
        <v>0.08</v>
      </c>
      <c r="AI28" s="113">
        <v>7.6</v>
      </c>
      <c r="AJ28" s="107">
        <v>5</v>
      </c>
      <c r="AM28" s="108">
        <f>$F$28</f>
        <v>37566</v>
      </c>
      <c r="AN28" s="114">
        <v>0.216</v>
      </c>
      <c r="AO28" s="114">
        <f t="shared" si="15"/>
        <v>0.26600000000000001</v>
      </c>
      <c r="AP28" s="115">
        <v>234</v>
      </c>
      <c r="AQ28" s="106">
        <f t="shared" si="12"/>
        <v>257.40000000000003</v>
      </c>
      <c r="AR28" s="106">
        <v>5.7</v>
      </c>
      <c r="AS28" s="106">
        <f t="shared" si="7"/>
        <v>6.2700000000000005</v>
      </c>
      <c r="AT28" s="116"/>
      <c r="AU28" s="117" t="s">
        <v>40</v>
      </c>
      <c r="AV28" s="118">
        <v>2.0833333333333333E-3</v>
      </c>
      <c r="AW28" s="119"/>
      <c r="AX28" s="120" t="s">
        <v>27</v>
      </c>
      <c r="BA28" s="108">
        <f>$F$28</f>
        <v>37566</v>
      </c>
      <c r="BB28" s="115"/>
      <c r="BC28" s="106">
        <f t="shared" si="8"/>
        <v>61</v>
      </c>
      <c r="BD28" s="106"/>
      <c r="BE28" s="106">
        <f t="shared" si="9"/>
        <v>9.15</v>
      </c>
      <c r="BF28" s="106"/>
      <c r="BG28" s="106">
        <v>5</v>
      </c>
      <c r="BH28" s="106"/>
      <c r="BI28" s="106">
        <v>65</v>
      </c>
      <c r="BJ28" s="110"/>
      <c r="BK28" s="121">
        <v>2</v>
      </c>
      <c r="BL28" s="110"/>
      <c r="BM28" s="121">
        <v>0.61109999999999998</v>
      </c>
      <c r="BN28" s="110"/>
      <c r="BO28" s="122">
        <v>1.4544999999999999</v>
      </c>
      <c r="BR28" s="108">
        <f>$F$28</f>
        <v>37566</v>
      </c>
      <c r="BS28" s="123">
        <v>5.7</v>
      </c>
      <c r="BT28" s="110"/>
      <c r="BU28" s="110"/>
      <c r="BV28" s="110">
        <v>0.23499999999999999</v>
      </c>
      <c r="BW28" s="110"/>
      <c r="BX28" s="110"/>
      <c r="BY28" s="124">
        <v>0.04</v>
      </c>
    </row>
    <row r="29" spans="1:77" s="16" customFormat="1" ht="18" customHeight="1" x14ac:dyDescent="0.2">
      <c r="A29" s="40">
        <v>26</v>
      </c>
      <c r="B29" s="41" t="s">
        <v>88</v>
      </c>
      <c r="C29" s="40" t="s">
        <v>89</v>
      </c>
      <c r="D29" s="40" t="s">
        <v>90</v>
      </c>
      <c r="E29" s="86"/>
      <c r="F29" s="104">
        <v>38609</v>
      </c>
      <c r="G29" s="105"/>
      <c r="H29" s="106">
        <v>125</v>
      </c>
      <c r="I29" s="106"/>
      <c r="J29" s="106">
        <v>160</v>
      </c>
      <c r="K29" s="106"/>
      <c r="L29" s="107">
        <v>200</v>
      </c>
      <c r="N29" s="86"/>
      <c r="O29" s="108">
        <f>$F$29</f>
        <v>38609</v>
      </c>
      <c r="P29" s="109"/>
      <c r="Q29" s="106">
        <v>150</v>
      </c>
      <c r="R29" s="110"/>
      <c r="S29" s="110">
        <v>0.2</v>
      </c>
      <c r="T29" s="106"/>
      <c r="U29" s="106">
        <v>70</v>
      </c>
      <c r="V29" s="110"/>
      <c r="W29" s="110">
        <v>0.88</v>
      </c>
      <c r="X29" s="106"/>
      <c r="Y29" s="107">
        <v>110</v>
      </c>
      <c r="Z29" s="86"/>
      <c r="AB29" s="108">
        <f>$F$29</f>
        <v>38609</v>
      </c>
      <c r="AC29" s="111"/>
      <c r="AD29" s="112">
        <v>0.7</v>
      </c>
      <c r="AE29" s="112"/>
      <c r="AF29" s="112">
        <v>0.73</v>
      </c>
      <c r="AG29" s="112"/>
      <c r="AH29" s="112">
        <v>8.5000000000000006E-2</v>
      </c>
      <c r="AI29" s="113">
        <v>5.7</v>
      </c>
      <c r="AJ29" s="107">
        <v>5</v>
      </c>
      <c r="AM29" s="108">
        <f>$F$29</f>
        <v>38609</v>
      </c>
      <c r="AN29" s="114">
        <v>0.2361</v>
      </c>
      <c r="AO29" s="114">
        <f t="shared" si="15"/>
        <v>0.28610000000000002</v>
      </c>
      <c r="AP29" s="115">
        <v>253</v>
      </c>
      <c r="AQ29" s="106">
        <f t="shared" si="12"/>
        <v>278.3</v>
      </c>
      <c r="AR29" s="106">
        <v>50</v>
      </c>
      <c r="AS29" s="106">
        <f t="shared" si="7"/>
        <v>55.000000000000007</v>
      </c>
      <c r="AT29" s="116"/>
      <c r="AU29" s="117" t="s">
        <v>40</v>
      </c>
      <c r="AV29" s="118">
        <v>2.0833333333333333E-3</v>
      </c>
      <c r="AW29" s="119"/>
      <c r="AX29" s="120" t="s">
        <v>27</v>
      </c>
      <c r="BA29" s="108">
        <f>$F$29</f>
        <v>38609</v>
      </c>
      <c r="BB29" s="115"/>
      <c r="BC29" s="106">
        <f t="shared" si="8"/>
        <v>47</v>
      </c>
      <c r="BD29" s="106"/>
      <c r="BE29" s="106">
        <f t="shared" si="9"/>
        <v>7.05</v>
      </c>
      <c r="BF29" s="106"/>
      <c r="BG29" s="106">
        <v>9</v>
      </c>
      <c r="BH29" s="106"/>
      <c r="BI29" s="106">
        <v>55</v>
      </c>
      <c r="BJ29" s="110"/>
      <c r="BK29" s="121">
        <v>0</v>
      </c>
      <c r="BL29" s="110"/>
      <c r="BM29" s="121">
        <v>0.5</v>
      </c>
      <c r="BN29" s="110"/>
      <c r="BO29" s="122">
        <v>1.9556</v>
      </c>
      <c r="BR29" s="108">
        <f>$F$29</f>
        <v>38609</v>
      </c>
      <c r="BS29" s="123">
        <v>5.7</v>
      </c>
      <c r="BT29" s="110"/>
      <c r="BU29" s="110"/>
      <c r="BV29" s="110">
        <v>0.23</v>
      </c>
      <c r="BW29" s="110"/>
      <c r="BX29" s="110"/>
      <c r="BY29" s="124">
        <v>0.04</v>
      </c>
    </row>
    <row r="30" spans="1:77" s="16" customFormat="1" ht="18" customHeight="1" x14ac:dyDescent="0.2">
      <c r="A30" s="42">
        <v>20</v>
      </c>
      <c r="B30" s="43" t="s">
        <v>81</v>
      </c>
      <c r="C30" s="42" t="s">
        <v>82</v>
      </c>
      <c r="D30" s="42" t="s">
        <v>87</v>
      </c>
      <c r="E30" s="86"/>
      <c r="F30" s="104" t="s">
        <v>20</v>
      </c>
      <c r="G30" s="105">
        <v>87</v>
      </c>
      <c r="H30" s="106">
        <f t="shared" si="3"/>
        <v>85</v>
      </c>
      <c r="I30" s="106">
        <v>129</v>
      </c>
      <c r="J30" s="106">
        <f t="shared" si="4"/>
        <v>125</v>
      </c>
      <c r="K30" s="106">
        <v>128</v>
      </c>
      <c r="L30" s="107">
        <f t="shared" si="5"/>
        <v>115</v>
      </c>
      <c r="N30" s="86"/>
      <c r="O30" s="108" t="s">
        <v>20</v>
      </c>
      <c r="P30" s="109">
        <v>116.480711881875</v>
      </c>
      <c r="Q30" s="106">
        <f t="shared" si="6"/>
        <v>110</v>
      </c>
      <c r="R30" s="110">
        <v>6.8979660517847E-2</v>
      </c>
      <c r="S30" s="110">
        <v>0.12</v>
      </c>
      <c r="T30" s="106">
        <v>58.003267923376399</v>
      </c>
      <c r="U30" s="106">
        <f t="shared" si="17"/>
        <v>55</v>
      </c>
      <c r="V30" s="110">
        <v>0.37566702241195299</v>
      </c>
      <c r="W30" s="110">
        <v>0.6</v>
      </c>
      <c r="X30" s="106">
        <v>93.214350923759298</v>
      </c>
      <c r="Y30" s="107">
        <v>85</v>
      </c>
      <c r="Z30" s="86"/>
      <c r="AB30" s="108" t="s">
        <v>20</v>
      </c>
      <c r="AC30" s="111">
        <v>0.88300000000000001</v>
      </c>
      <c r="AD30" s="112">
        <v>0.9</v>
      </c>
      <c r="AE30" s="112">
        <v>0.88139534883699999</v>
      </c>
      <c r="AF30" s="112">
        <v>0.9</v>
      </c>
      <c r="AG30" s="112">
        <v>5.1999999999999998E-2</v>
      </c>
      <c r="AH30" s="112">
        <v>0.04</v>
      </c>
      <c r="AI30" s="113">
        <v>19.600000000000001</v>
      </c>
      <c r="AJ30" s="107">
        <v>14</v>
      </c>
      <c r="AM30" s="108" t="s">
        <v>20</v>
      </c>
      <c r="AN30" s="114">
        <v>0.32415775339736402</v>
      </c>
      <c r="AO30" s="114">
        <f t="shared" si="15"/>
        <v>0.37415775339736401</v>
      </c>
      <c r="AP30" s="115">
        <v>214</v>
      </c>
      <c r="AQ30" s="106">
        <f t="shared" si="12"/>
        <v>235.4</v>
      </c>
      <c r="AR30" s="106">
        <v>0</v>
      </c>
      <c r="AS30" s="106">
        <f t="shared" si="7"/>
        <v>0</v>
      </c>
      <c r="AT30" s="116"/>
      <c r="AU30" s="117" t="s">
        <v>40</v>
      </c>
      <c r="AV30" s="118">
        <v>2.0833333333333333E-3</v>
      </c>
      <c r="AW30" s="119"/>
      <c r="AX30" s="120" t="s">
        <v>27</v>
      </c>
      <c r="BA30" s="108" t="s">
        <v>20</v>
      </c>
      <c r="BB30" s="115">
        <v>26</v>
      </c>
      <c r="BC30" s="106">
        <f t="shared" si="8"/>
        <v>25</v>
      </c>
      <c r="BD30" s="106">
        <v>5</v>
      </c>
      <c r="BE30" s="106">
        <f t="shared" si="9"/>
        <v>3.75</v>
      </c>
      <c r="BF30" s="106">
        <v>3</v>
      </c>
      <c r="BG30" s="106">
        <v>11</v>
      </c>
      <c r="BH30" s="106">
        <f t="shared" si="2"/>
        <v>34</v>
      </c>
      <c r="BI30" s="106">
        <v>35</v>
      </c>
      <c r="BJ30" s="110">
        <v>1.6</v>
      </c>
      <c r="BK30" s="121">
        <f t="shared" si="16"/>
        <v>1.5</v>
      </c>
      <c r="BL30" s="110"/>
      <c r="BM30" s="121">
        <f t="shared" si="10"/>
        <v>-0.1</v>
      </c>
      <c r="BN30" s="110">
        <v>2.6537999999999999</v>
      </c>
      <c r="BO30" s="122">
        <f t="shared" si="11"/>
        <v>2.5537999999999998</v>
      </c>
      <c r="BR30" s="108" t="s">
        <v>20</v>
      </c>
      <c r="BS30" s="123">
        <v>5.5</v>
      </c>
      <c r="BT30" s="110">
        <v>0.228881311753689</v>
      </c>
      <c r="BU30" s="110">
        <v>0.195840845382277</v>
      </c>
      <c r="BV30" s="110">
        <v>0.22500000000000001</v>
      </c>
      <c r="BW30" s="110">
        <v>4.2124233640190398E-2</v>
      </c>
      <c r="BX30" s="110">
        <v>4.3865893285068701E-2</v>
      </c>
      <c r="BY30" s="124">
        <v>4.0500000000000001E-2</v>
      </c>
    </row>
    <row r="31" spans="1:77" s="16" customFormat="1" ht="18" customHeight="1" thickBot="1" x14ac:dyDescent="0.25">
      <c r="A31" s="40">
        <v>27</v>
      </c>
      <c r="B31" s="41" t="s">
        <v>88</v>
      </c>
      <c r="C31" s="40" t="s">
        <v>82</v>
      </c>
      <c r="D31" s="40" t="s">
        <v>90</v>
      </c>
      <c r="E31" s="86"/>
      <c r="F31" s="125">
        <v>43701</v>
      </c>
      <c r="G31" s="126"/>
      <c r="H31" s="127">
        <v>180</v>
      </c>
      <c r="I31" s="127"/>
      <c r="J31" s="127">
        <v>230</v>
      </c>
      <c r="K31" s="127"/>
      <c r="L31" s="128">
        <v>220</v>
      </c>
      <c r="N31" s="86"/>
      <c r="O31" s="129">
        <f>$F$31</f>
        <v>43701</v>
      </c>
      <c r="P31" s="130"/>
      <c r="Q31" s="127">
        <v>210</v>
      </c>
      <c r="R31" s="131"/>
      <c r="S31" s="131">
        <v>0.24</v>
      </c>
      <c r="T31" s="127"/>
      <c r="U31" s="127">
        <v>80</v>
      </c>
      <c r="V31" s="131"/>
      <c r="W31" s="131">
        <v>0.3</v>
      </c>
      <c r="X31" s="127"/>
      <c r="Y31" s="128">
        <v>95</v>
      </c>
      <c r="Z31" s="86"/>
      <c r="AB31" s="129">
        <f>$F$31</f>
        <v>43701</v>
      </c>
      <c r="AC31" s="132"/>
      <c r="AD31" s="133">
        <v>0.7</v>
      </c>
      <c r="AE31" s="133"/>
      <c r="AF31" s="133">
        <v>0.8</v>
      </c>
      <c r="AG31" s="133"/>
      <c r="AH31" s="133">
        <v>0.1</v>
      </c>
      <c r="AI31" s="134">
        <v>0</v>
      </c>
      <c r="AJ31" s="128">
        <v>2</v>
      </c>
      <c r="AM31" s="129">
        <f>$F$31</f>
        <v>43701</v>
      </c>
      <c r="AN31" s="135">
        <v>0.1651</v>
      </c>
      <c r="AO31" s="135">
        <f t="shared" si="15"/>
        <v>0.21510000000000001</v>
      </c>
      <c r="AP31" s="136">
        <v>103</v>
      </c>
      <c r="AQ31" s="106">
        <f t="shared" si="12"/>
        <v>113.30000000000001</v>
      </c>
      <c r="AR31" s="127">
        <v>0</v>
      </c>
      <c r="AS31" s="106">
        <f t="shared" si="7"/>
        <v>0</v>
      </c>
      <c r="AT31" s="137"/>
      <c r="AU31" s="117" t="s">
        <v>40</v>
      </c>
      <c r="AV31" s="118">
        <v>2.0833333333333333E-3</v>
      </c>
      <c r="AW31" s="138"/>
      <c r="AX31" s="120" t="s">
        <v>27</v>
      </c>
      <c r="BA31" s="129">
        <f>$F$31</f>
        <v>43701</v>
      </c>
      <c r="BB31" s="136"/>
      <c r="BC31" s="127">
        <f t="shared" si="8"/>
        <v>36</v>
      </c>
      <c r="BD31" s="127"/>
      <c r="BE31" s="127">
        <f t="shared" si="9"/>
        <v>5.3999999999999995</v>
      </c>
      <c r="BF31" s="127"/>
      <c r="BG31" s="127">
        <v>5</v>
      </c>
      <c r="BH31" s="127"/>
      <c r="BI31" s="127">
        <v>40</v>
      </c>
      <c r="BJ31" s="131"/>
      <c r="BK31" s="139">
        <v>0</v>
      </c>
      <c r="BL31" s="131"/>
      <c r="BM31" s="139">
        <v>0</v>
      </c>
      <c r="BN31" s="131"/>
      <c r="BO31" s="140">
        <v>0.52629999999999999</v>
      </c>
      <c r="BR31" s="129">
        <f>$F$31</f>
        <v>43701</v>
      </c>
      <c r="BS31" s="141">
        <v>4.8</v>
      </c>
      <c r="BT31" s="131"/>
      <c r="BU31" s="131"/>
      <c r="BV31" s="131">
        <v>0.26</v>
      </c>
      <c r="BW31" s="131"/>
      <c r="BX31" s="131"/>
      <c r="BY31" s="142">
        <v>0.04</v>
      </c>
    </row>
    <row r="32" spans="1:77" s="24" customFormat="1" ht="20" hidden="1" customHeight="1" x14ac:dyDescent="0.25">
      <c r="D32" s="24" t="s">
        <v>94</v>
      </c>
      <c r="E32" s="23"/>
      <c r="F32" s="29" t="s">
        <v>24</v>
      </c>
      <c r="G32" s="30">
        <f>AVERAGE(G5:G30)</f>
        <v>110.05</v>
      </c>
      <c r="H32" s="31">
        <v>108</v>
      </c>
      <c r="I32" s="30">
        <f>AVERAGE(I5:I30)</f>
        <v>140.15</v>
      </c>
      <c r="J32" s="31">
        <v>135</v>
      </c>
      <c r="K32" s="31">
        <f>AVERAGE(K5:K30)</f>
        <v>157.6</v>
      </c>
      <c r="L32" s="32">
        <f>AVERAGE(L5:M31)</f>
        <v>154.07407407407408</v>
      </c>
      <c r="M32" s="22"/>
      <c r="N32" s="23"/>
      <c r="O32" s="29" t="s">
        <v>24</v>
      </c>
      <c r="P32" s="30">
        <f>AVERAGE(P5:P30)</f>
        <v>134.52129994222403</v>
      </c>
      <c r="Q32" s="31">
        <f>AVERAGE(Q5:Q31)</f>
        <v>141.4814814814815</v>
      </c>
      <c r="R32" s="44">
        <v>9.3399999999999997E-2</v>
      </c>
      <c r="S32" s="45">
        <f>AVERAGE(S5:S31)</f>
        <v>0.15148148148148152</v>
      </c>
      <c r="T32" s="46">
        <v>56</v>
      </c>
      <c r="U32" s="31">
        <v>55</v>
      </c>
      <c r="V32" s="44">
        <v>0.62639999999999996</v>
      </c>
      <c r="W32" s="45">
        <v>0.7</v>
      </c>
      <c r="X32" s="46">
        <v>87</v>
      </c>
      <c r="Y32" s="32">
        <f>AVERAGE(Y5:Y31)</f>
        <v>83.888888888888886</v>
      </c>
      <c r="Z32" s="23"/>
      <c r="AA32" s="22"/>
      <c r="AB32" s="29" t="s">
        <v>24</v>
      </c>
      <c r="AC32" s="59">
        <v>0.83299999999999996</v>
      </c>
      <c r="AD32" s="60">
        <v>0.82</v>
      </c>
      <c r="AE32" s="46">
        <v>81.17</v>
      </c>
      <c r="AF32" s="60">
        <v>0.8</v>
      </c>
      <c r="AG32" s="59">
        <v>4.1000000000000002E-2</v>
      </c>
      <c r="AH32" s="60">
        <v>0.04</v>
      </c>
      <c r="AI32" s="61">
        <v>7.6</v>
      </c>
      <c r="AJ32" s="32">
        <v>10</v>
      </c>
      <c r="AK32" s="22"/>
      <c r="AL32" s="22"/>
      <c r="AM32" s="29" t="s">
        <v>24</v>
      </c>
      <c r="AN32" s="65">
        <v>0.26202375305041897</v>
      </c>
      <c r="AO32" s="60">
        <v>0.3</v>
      </c>
      <c r="AP32" s="30">
        <v>297</v>
      </c>
      <c r="AQ32" s="31">
        <v>344</v>
      </c>
      <c r="AR32" s="30">
        <v>212.9</v>
      </c>
      <c r="AS32" s="31">
        <v>234</v>
      </c>
      <c r="AT32" s="66">
        <v>2.3379629629629631E-3</v>
      </c>
      <c r="AU32" s="267">
        <v>1.9560185185185184E-3</v>
      </c>
      <c r="AV32" s="268"/>
      <c r="AW32" s="67">
        <v>4.35947567207287</v>
      </c>
      <c r="AX32" s="68" t="s">
        <v>27</v>
      </c>
      <c r="AY32" s="22"/>
      <c r="AZ32" s="22"/>
      <c r="BA32" s="29" t="s">
        <v>24</v>
      </c>
      <c r="BB32" s="46" t="s">
        <v>28</v>
      </c>
      <c r="BC32" s="75" t="s">
        <v>37</v>
      </c>
      <c r="BD32" s="75" t="s">
        <v>29</v>
      </c>
      <c r="BE32" s="75" t="s">
        <v>29</v>
      </c>
      <c r="BF32" s="75" t="s">
        <v>30</v>
      </c>
      <c r="BG32" s="75" t="s">
        <v>31</v>
      </c>
      <c r="BH32" s="46" t="s">
        <v>33</v>
      </c>
      <c r="BI32" s="266" t="s">
        <v>55</v>
      </c>
      <c r="BJ32" s="44">
        <v>0.47649999999999998</v>
      </c>
      <c r="BK32" s="266" t="s">
        <v>58</v>
      </c>
      <c r="BL32" s="44">
        <v>0.5726</v>
      </c>
      <c r="BM32" s="266" t="s">
        <v>58</v>
      </c>
      <c r="BN32" s="44"/>
      <c r="BO32" s="265" t="s">
        <v>58</v>
      </c>
      <c r="BP32" s="22"/>
      <c r="BQ32" s="22"/>
      <c r="BR32" s="29" t="s">
        <v>24</v>
      </c>
      <c r="BS32" s="76">
        <v>5.5</v>
      </c>
      <c r="BT32" s="44">
        <v>0.21851785526513701</v>
      </c>
      <c r="BU32" s="44">
        <v>0.21683444068815499</v>
      </c>
      <c r="BV32" s="45">
        <f>AVERAGE(BV5:BV31)</f>
        <v>0.22037037037037036</v>
      </c>
      <c r="BW32" s="44">
        <v>4.3626360994787797E-2</v>
      </c>
      <c r="BX32" s="44">
        <v>4.7020103951487098E-2</v>
      </c>
      <c r="BY32" s="77">
        <f>AVERAGE(BY5:BY31)</f>
        <v>4.1110185185185201E-2</v>
      </c>
    </row>
    <row r="33" spans="4:77" s="27" customFormat="1" ht="20" hidden="1" customHeight="1" thickBot="1" x14ac:dyDescent="0.3">
      <c r="D33" s="27" t="s">
        <v>94</v>
      </c>
      <c r="E33" s="25"/>
      <c r="F33" s="147"/>
      <c r="G33" s="148"/>
      <c r="H33" s="149"/>
      <c r="I33" s="150"/>
      <c r="J33" s="151"/>
      <c r="K33" s="151"/>
      <c r="L33" s="152"/>
      <c r="M33" s="22"/>
      <c r="N33" s="23"/>
      <c r="O33" s="29"/>
      <c r="P33" s="30"/>
      <c r="Q33" s="153" t="s">
        <v>76</v>
      </c>
      <c r="R33" s="150"/>
      <c r="S33" s="151"/>
      <c r="T33" s="150"/>
      <c r="U33" s="153" t="s">
        <v>56</v>
      </c>
      <c r="V33" s="150"/>
      <c r="W33" s="151"/>
      <c r="X33" s="150"/>
      <c r="Y33" s="152"/>
      <c r="Z33" s="25"/>
      <c r="AA33" s="26"/>
      <c r="AB33" s="147"/>
      <c r="AC33" s="154"/>
      <c r="AD33" s="155"/>
      <c r="AE33" s="156"/>
      <c r="AF33" s="155"/>
      <c r="AG33" s="154"/>
      <c r="AH33" s="155"/>
      <c r="AI33" s="157"/>
      <c r="AJ33" s="158"/>
      <c r="AK33" s="26"/>
      <c r="AL33" s="26"/>
      <c r="AM33" s="147"/>
      <c r="AN33" s="156"/>
      <c r="AO33" s="157" t="s">
        <v>75</v>
      </c>
      <c r="AP33" s="148"/>
      <c r="AQ33" s="159" t="s">
        <v>57</v>
      </c>
      <c r="AR33" s="148"/>
      <c r="AS33" s="159" t="s">
        <v>57</v>
      </c>
      <c r="AT33" s="160"/>
      <c r="AU33" s="161"/>
      <c r="AV33" s="162"/>
      <c r="AW33" s="163"/>
      <c r="AX33" s="164"/>
      <c r="AY33" s="26"/>
      <c r="AZ33" s="26"/>
      <c r="BA33" s="147"/>
      <c r="BB33" s="156"/>
      <c r="BC33" s="165"/>
      <c r="BD33" s="165"/>
      <c r="BE33" s="165"/>
      <c r="BF33" s="165"/>
      <c r="BG33" s="165"/>
      <c r="BH33" s="156"/>
      <c r="BI33" s="266"/>
      <c r="BJ33" s="166"/>
      <c r="BK33" s="266"/>
      <c r="BL33" s="166"/>
      <c r="BM33" s="266"/>
      <c r="BN33" s="166"/>
      <c r="BO33" s="265"/>
      <c r="BP33" s="26"/>
      <c r="BQ33" s="26"/>
      <c r="BR33" s="147"/>
      <c r="BS33" s="167"/>
      <c r="BT33" s="166"/>
      <c r="BU33" s="166"/>
      <c r="BV33" s="168"/>
      <c r="BW33" s="166"/>
      <c r="BX33" s="166"/>
      <c r="BY33" s="169"/>
    </row>
    <row r="34" spans="4:77" s="144" customFormat="1" ht="16" x14ac:dyDescent="0.15">
      <c r="E34" s="145"/>
      <c r="F34" s="178" t="s">
        <v>81</v>
      </c>
      <c r="G34" s="185"/>
      <c r="H34" s="179">
        <v>108</v>
      </c>
      <c r="I34" s="179">
        <f>AVERAGEIF($B$5:$B$31,$F$36,I4:I30)</f>
        <v>135</v>
      </c>
      <c r="J34" s="179">
        <v>135</v>
      </c>
      <c r="K34" s="179">
        <f>AVERAGEIF($B$5:$B$31,$F$36,K4:K30)</f>
        <v>136.75</v>
      </c>
      <c r="L34" s="181">
        <f>AVERAGEIF($B$5:$B$31,$F$34,L5:L31)</f>
        <v>143.75</v>
      </c>
      <c r="M34" s="145" t="e">
        <f>AVERAGEIF($B$5:$B$31,$F$36,M4:M30)</f>
        <v>#DIV/0!</v>
      </c>
      <c r="N34" s="145"/>
      <c r="O34" s="178" t="s">
        <v>81</v>
      </c>
      <c r="P34" s="179">
        <f>AVERAGEIF($B$5:$B$31,$F$36,P4:P30)</f>
        <v>125.18414698261523</v>
      </c>
      <c r="Q34" s="179">
        <f>AVERAGEIF($B$5:$B$31,$F$34,Q5:R31)</f>
        <v>129</v>
      </c>
      <c r="R34" s="179">
        <f>AVERAGEIF($B$5:$B$31,$F$36,R4:R30)</f>
        <v>0.11016177541944849</v>
      </c>
      <c r="S34" s="180">
        <f>AVERAGEIF($B$5:$B$31,$F$34,S5:S31)</f>
        <v>0.14999999999999997</v>
      </c>
      <c r="T34" s="179">
        <f>AVERAGEIF($B$5:$B$31,$F$36,T4:T30)</f>
        <v>52.862317341329778</v>
      </c>
      <c r="U34" s="179">
        <v>55</v>
      </c>
      <c r="V34" s="179">
        <f>AVERAGEIF($B$5:$B$31,$F$36,V4:V30)</f>
        <v>0.59374069194154899</v>
      </c>
      <c r="W34" s="180">
        <f>ROUND(AVERAGEIF($B$5:$B$31,$F$34,W5:W31),2)</f>
        <v>0.7</v>
      </c>
      <c r="X34" s="179">
        <f>AVERAGEIF($B$5:$B$31,$F$36,X4:X30)</f>
        <v>84.517630835289253</v>
      </c>
      <c r="Y34" s="181">
        <f>AVERAGEIF($B$5:$B$31,$F$34,Y5:Y31)</f>
        <v>80.25</v>
      </c>
      <c r="Z34" s="145"/>
      <c r="AA34" s="145" t="e">
        <f>AVERAGEIF($B$5:$B$31,$F$36,AA4:AA30)</f>
        <v>#DIV/0!</v>
      </c>
      <c r="AB34" s="178" t="s">
        <v>81</v>
      </c>
      <c r="AC34" s="179">
        <f>AVERAGEIF($B$5:$B$31,$F$36,AC4:AC30)</f>
        <v>0.82974999999999999</v>
      </c>
      <c r="AD34" s="180">
        <v>0.82</v>
      </c>
      <c r="AE34" s="180">
        <f>AVERAGEIF($B$5:$B$31,$F$36,AE4:AE30)</f>
        <v>0.75970957371125003</v>
      </c>
      <c r="AF34" s="180">
        <v>0.8</v>
      </c>
      <c r="AG34" s="180">
        <f>AVERAGEIF($B$5:$B$31,$F$36,AG4:AG30)</f>
        <v>4.5499999999999999E-2</v>
      </c>
      <c r="AH34" s="180">
        <v>0.04</v>
      </c>
      <c r="AI34" s="179">
        <f>AVERAGEIF($B$5:$B$31,$F$36,AI4:AI30)</f>
        <v>11.228571428571428</v>
      </c>
      <c r="AJ34" s="181">
        <v>10</v>
      </c>
      <c r="AK34" s="145"/>
      <c r="AL34" s="145" t="e">
        <f>AVERAGEIF($B$5:$B$31,$F$36,AL4:AL30)</f>
        <v>#DIV/0!</v>
      </c>
      <c r="AM34" s="178" t="s">
        <v>81</v>
      </c>
      <c r="AN34" s="179">
        <f>AVERAGEIF($B$5:$B$31,$F$36,AN4:AN30)</f>
        <v>0.25734569529642043</v>
      </c>
      <c r="AO34" s="180">
        <v>0.3</v>
      </c>
      <c r="AP34" s="179">
        <f>AVERAGEIF($B$5:$B$31,$F$36,AP4:AP30)</f>
        <v>306.28571428571428</v>
      </c>
      <c r="AQ34" s="179">
        <v>344</v>
      </c>
      <c r="AR34" s="179">
        <f>AVERAGEIF($B$5:$B$31,$F$36,AR4:AR30)</f>
        <v>37.959340659340661</v>
      </c>
      <c r="AS34" s="179">
        <v>234</v>
      </c>
      <c r="AT34" s="179" t="e">
        <f ca="1">AVERAGEIF($B$5:$B$31,$F$36,AT5:AT30)</f>
        <v>#DIV/0!</v>
      </c>
      <c r="AU34" s="182" t="s">
        <v>93</v>
      </c>
      <c r="AV34" s="214">
        <f>AVERAGEIF($B$5:$B$31,$F$34,AV5:AV31)</f>
        <v>1.9589120370370368E-3</v>
      </c>
      <c r="AW34" s="179">
        <f>AVERAGEIF($B$5:$B$31,$F$36,AW4:AW30)</f>
        <v>4.4149350489938177</v>
      </c>
      <c r="AX34" s="181" t="s">
        <v>27</v>
      </c>
      <c r="AY34" s="145"/>
      <c r="AZ34" s="145" t="e">
        <f>AVERAGEIF($B$5:$B$31,$F$36,AZ4:AZ30)</f>
        <v>#DIV/0!</v>
      </c>
      <c r="BA34" s="178" t="s">
        <v>81</v>
      </c>
      <c r="BB34" s="179">
        <f>AVERAGEIF($B$5:$B$31,$F$36,BB4:BB30)</f>
        <v>58.25</v>
      </c>
      <c r="BC34" s="174">
        <f>AVERAGEIF($B$5:$B$31,$F$34,BC5:BC31)</f>
        <v>50</v>
      </c>
      <c r="BD34" s="174">
        <f>AVERAGEIF($B$5:$B$31,$F$36,BD4:BD30)</f>
        <v>10.4</v>
      </c>
      <c r="BE34" s="174">
        <f>AVERAGEIF($B$5:$B$31,$F$34,BE5:BE31)</f>
        <v>7.5</v>
      </c>
      <c r="BF34" s="174">
        <f>AVERAGEIF($B$5:$B$31,$F$36,BF4:BF30)</f>
        <v>3.25</v>
      </c>
      <c r="BG34" s="174">
        <f>AVERAGEIF($B$5:$B$31,$F$34,BG5:BH31)</f>
        <v>10.7</v>
      </c>
      <c r="BH34" s="179">
        <f>AVERAGEIF($B$5:$B$31,$F$36,BH4:BH30)</f>
        <v>71.5</v>
      </c>
      <c r="BI34" s="179">
        <v>1189</v>
      </c>
      <c r="BJ34" s="179">
        <f>AVERAGEIF($B$5:$B$31,$F$36,BJ4:BJ30)</f>
        <v>0.66095000000000004</v>
      </c>
      <c r="BK34" s="180">
        <v>0.38</v>
      </c>
      <c r="BL34" s="180">
        <f>AVERAGEIF($B$5:$B$31,$F$36,BL4:BL30)</f>
        <v>0.39826666666666671</v>
      </c>
      <c r="BM34" s="180">
        <v>0.38</v>
      </c>
      <c r="BN34" s="180">
        <f>AVERAGEIF($B$5:$B$31,$F$36,BN4:BN30)</f>
        <v>2.0627749999999998</v>
      </c>
      <c r="BO34" s="184">
        <v>0.38</v>
      </c>
      <c r="BP34" s="145"/>
      <c r="BQ34" s="145" t="e">
        <f>AVERAGEIF($B$5:$B$31,$F$36,BQ4:BQ30)</f>
        <v>#DIV/0!</v>
      </c>
      <c r="BR34" s="178" t="s">
        <v>81</v>
      </c>
      <c r="BS34" s="183">
        <f>AVERAGEIF($B$5:$B$31,$F$34,BS5:BS31)</f>
        <v>5.5050000000000008</v>
      </c>
      <c r="BT34" s="179">
        <f>AVERAGEIF($B$5:$B$31,$F$36,BT4:BT30)</f>
        <v>0.214578024853329</v>
      </c>
      <c r="BU34" s="179">
        <f>AVERAGEIF($B$5:$B$31,$F$36,BU4:BU30)</f>
        <v>0.21227997247525901</v>
      </c>
      <c r="BV34" s="180">
        <f>AVERAGEIF($B$5:$B$31,$F$34,BV5:BV31)</f>
        <v>0.21499999999999994</v>
      </c>
      <c r="BW34" s="180">
        <f>AVERAGEIF($B$5:$B$31,$F$36,BW4:BW30)</f>
        <v>4.7117122683513979E-2</v>
      </c>
      <c r="BX34" s="180">
        <f>AVERAGEIF($B$5:$B$31,$F$36,BX4:BX30)</f>
        <v>5.1709223556676599E-2</v>
      </c>
      <c r="BY34" s="184">
        <f>AVERAGEIF($B$5:$B$31,$F$34,BY5:BY31)</f>
        <v>4.1498750000000008E-2</v>
      </c>
    </row>
    <row r="35" spans="4:77" s="175" customFormat="1" ht="20" customHeight="1" x14ac:dyDescent="0.15">
      <c r="E35" s="177"/>
      <c r="F35" s="200"/>
      <c r="G35" s="187"/>
      <c r="H35" s="188"/>
      <c r="I35" s="189"/>
      <c r="J35" s="189"/>
      <c r="K35" s="189"/>
      <c r="L35" s="201"/>
      <c r="M35" s="176"/>
      <c r="N35" s="177"/>
      <c r="O35" s="200"/>
      <c r="P35" s="187"/>
      <c r="Q35" s="190" t="s">
        <v>96</v>
      </c>
      <c r="R35" s="189"/>
      <c r="S35" s="189"/>
      <c r="T35" s="189"/>
      <c r="U35" s="190" t="s">
        <v>97</v>
      </c>
      <c r="V35" s="189"/>
      <c r="W35" s="189"/>
      <c r="X35" s="189"/>
      <c r="Y35" s="201"/>
      <c r="Z35" s="177"/>
      <c r="AA35" s="176"/>
      <c r="AB35" s="200"/>
      <c r="AC35" s="191"/>
      <c r="AD35" s="191"/>
      <c r="AE35" s="186"/>
      <c r="AF35" s="191"/>
      <c r="AG35" s="191"/>
      <c r="AH35" s="191"/>
      <c r="AI35" s="186"/>
      <c r="AJ35" s="210"/>
      <c r="AK35" s="176"/>
      <c r="AL35" s="176"/>
      <c r="AM35" s="200"/>
      <c r="AN35" s="186"/>
      <c r="AO35" s="186" t="s">
        <v>75</v>
      </c>
      <c r="AP35" s="187"/>
      <c r="AQ35" s="187" t="s">
        <v>57</v>
      </c>
      <c r="AR35" s="187"/>
      <c r="AS35" s="187" t="s">
        <v>57</v>
      </c>
      <c r="AT35" s="192"/>
      <c r="AU35" s="192"/>
      <c r="AV35" s="192"/>
      <c r="AW35" s="193"/>
      <c r="AX35" s="215"/>
      <c r="AY35" s="176"/>
      <c r="AZ35" s="176"/>
      <c r="BA35" s="200"/>
      <c r="BB35" s="186"/>
      <c r="BC35" s="196"/>
      <c r="BD35" s="196"/>
      <c r="BE35" s="196"/>
      <c r="BF35" s="196"/>
      <c r="BG35" s="196"/>
      <c r="BH35" s="186"/>
      <c r="BI35" s="197" t="s">
        <v>98</v>
      </c>
      <c r="BJ35" s="198"/>
      <c r="BK35" s="197" t="s">
        <v>99</v>
      </c>
      <c r="BL35" s="197" t="s">
        <v>99</v>
      </c>
      <c r="BM35" s="197" t="s">
        <v>99</v>
      </c>
      <c r="BN35" s="197" t="s">
        <v>99</v>
      </c>
      <c r="BO35" s="219" t="s">
        <v>99</v>
      </c>
      <c r="BP35" s="176"/>
      <c r="BQ35" s="176"/>
      <c r="BR35" s="200"/>
      <c r="BS35" s="199"/>
      <c r="BT35" s="198"/>
      <c r="BU35" s="198"/>
      <c r="BV35" s="198"/>
      <c r="BW35" s="198"/>
      <c r="BX35" s="198"/>
      <c r="BY35" s="222"/>
    </row>
    <row r="36" spans="4:77" s="144" customFormat="1" ht="16" x14ac:dyDescent="0.15">
      <c r="E36" s="145"/>
      <c r="F36" s="202" t="s">
        <v>88</v>
      </c>
      <c r="G36" s="170"/>
      <c r="H36" s="171">
        <f t="shared" ref="H36:M36" si="18">AVERAGEIF($B$5:$B$31,$F$36,H5:H31)</f>
        <v>155</v>
      </c>
      <c r="I36" s="171" t="e">
        <f t="shared" si="18"/>
        <v>#DIV/0!</v>
      </c>
      <c r="J36" s="171">
        <f t="shared" si="18"/>
        <v>188.57142857142858</v>
      </c>
      <c r="K36" s="171" t="e">
        <f t="shared" si="18"/>
        <v>#DIV/0!</v>
      </c>
      <c r="L36" s="203">
        <f t="shared" si="18"/>
        <v>183.57142857142858</v>
      </c>
      <c r="M36" s="145" t="e">
        <f t="shared" si="18"/>
        <v>#DIV/0!</v>
      </c>
      <c r="N36" s="145"/>
      <c r="O36" s="202" t="s">
        <v>88</v>
      </c>
      <c r="P36" s="171" t="e">
        <f>AVERAGEIF($B$5:$B$31,$F$36,P5:P31)</f>
        <v>#DIV/0!</v>
      </c>
      <c r="Q36" s="171">
        <f>AVERAGEIF($B$5:$B$31,$F$36,Q5:Q31)</f>
        <v>177.14285714285714</v>
      </c>
      <c r="R36" s="171" t="e">
        <f>AVERAGEIF($B$5:$B$31,$F$36,R5:R31)</f>
        <v>#DIV/0!</v>
      </c>
      <c r="S36" s="172">
        <f>ROUND(AVERAGEIF($B$5:$B$31,$F$36,S5:S31),2)</f>
        <v>0.16</v>
      </c>
      <c r="T36" s="171" t="e">
        <f>AVERAGEIF($B$5:$B$31,$F$36,T5:T31)</f>
        <v>#DIV/0!</v>
      </c>
      <c r="U36" s="171">
        <f>AVERAGEIF($B$5:$B$31,$F$36,U5:U31)</f>
        <v>67.142857142857139</v>
      </c>
      <c r="V36" s="171" t="e">
        <f>AVERAGEIF($B$5:$B$31,$F$36,V5:V31)</f>
        <v>#DIV/0!</v>
      </c>
      <c r="W36" s="172">
        <f>ROUND(AVERAGEIF($B$5:$B$31,$F$36,W5:W31),2)</f>
        <v>0.49</v>
      </c>
      <c r="X36" s="171" t="e">
        <f>AVERAGEIF($B$5:$B$31,$F$36,X5:X31)</f>
        <v>#DIV/0!</v>
      </c>
      <c r="Y36" s="203">
        <f>AVERAGEIF($B$5:$B$31,$F$36,Y5:Y31)</f>
        <v>94.285714285714292</v>
      </c>
      <c r="Z36" s="145"/>
      <c r="AA36" s="145" t="e">
        <f>AVERAGEIF($B$5:$B$31,$F$36,AA5:AA31)</f>
        <v>#DIV/0!</v>
      </c>
      <c r="AB36" s="202" t="s">
        <v>88</v>
      </c>
      <c r="AC36" s="171" t="e">
        <f>AVERAGEIF($B$5:$B$31,$F$36,AC5:AC31)</f>
        <v>#DIV/0!</v>
      </c>
      <c r="AD36" s="172">
        <f>AVERAGEIF($B$5:$B$31,$F$36,AD5:AD31)</f>
        <v>0.70000000000000007</v>
      </c>
      <c r="AE36" s="172" t="e">
        <f>AVERAGEIF($B$5:$B$31,$F$36,AE5:AE31)</f>
        <v>#DIV/0!</v>
      </c>
      <c r="AF36" s="172">
        <f>ROUND(AVERAGEIF($B$5:$B$31,$F$36,AF5:AF31),2)</f>
        <v>0.73</v>
      </c>
      <c r="AG36" s="172" t="e">
        <f>AVERAGEIF($B$5:$B$31,$F$36,AG5:AG31)</f>
        <v>#DIV/0!</v>
      </c>
      <c r="AH36" s="172">
        <f>ROUNDDOWN(AVERAGEIF($B$5:$B$31,$F$36,AH5:AH31),3)</f>
        <v>8.5000000000000006E-2</v>
      </c>
      <c r="AI36" s="171">
        <f>AVERAGEIF($B$5:$B$31,$F$36,AI5:AI31)</f>
        <v>10.171428571428573</v>
      </c>
      <c r="AJ36" s="203">
        <f>AVERAGEIF($B$5:$B$31,$F$36,AJ5:AJ31)</f>
        <v>8.8571428571428577</v>
      </c>
      <c r="AK36" s="145"/>
      <c r="AL36" s="145" t="e">
        <f>AVERAGEIF($B$5:$B$31,$F$36,AL5:AL31)</f>
        <v>#DIV/0!</v>
      </c>
      <c r="AM36" s="202" t="s">
        <v>88</v>
      </c>
      <c r="AN36" s="171">
        <f>AVERAGEIF($B$5:$B$31,$F$36,AN5:AN31)</f>
        <v>0.21945714285714285</v>
      </c>
      <c r="AO36" s="172">
        <f>ROUND(AVERAGEIF($B$5:$B$31,$F$36,AO5:AO31),2)</f>
        <v>0.27</v>
      </c>
      <c r="AP36" s="171">
        <f>AVERAGEIF($B$5:$B$31,$F$36,AP5:AP31)</f>
        <v>217.85714285714286</v>
      </c>
      <c r="AQ36" s="171">
        <f>AVERAGEIF($B$5:$B$31,$F$36,AQ5:AQ31)</f>
        <v>239.64285714285714</v>
      </c>
      <c r="AR36" s="171">
        <f>AVERAGEIF($B$5:$B$31,$F$36,AR5:AR31)</f>
        <v>19.942857142857143</v>
      </c>
      <c r="AS36" s="171">
        <f>AVERAGEIF($B$5:$B$31,$F$36,AS5:AS31)</f>
        <v>21.937142857142863</v>
      </c>
      <c r="AT36" s="171" t="e">
        <f>AVERAGEIF($B$5:$B$31,$F$36,AT5:AT31)</f>
        <v>#DIV/0!</v>
      </c>
      <c r="AU36" s="194" t="s">
        <v>93</v>
      </c>
      <c r="AV36" s="146">
        <v>2.0833333333333333E-3</v>
      </c>
      <c r="AW36" s="171" t="e">
        <f>AVERAGEIF($B$5:$B$31,$F$36,AW5:AW31)</f>
        <v>#DIV/0!</v>
      </c>
      <c r="AX36" s="203" t="s">
        <v>27</v>
      </c>
      <c r="AY36" s="145"/>
      <c r="AZ36" s="145" t="e">
        <f>AVERAGEIF($B$5:$B$31,$F$36,AZ5:AZ31)</f>
        <v>#DIV/0!</v>
      </c>
      <c r="BA36" s="202" t="s">
        <v>88</v>
      </c>
      <c r="BB36" s="171" t="e">
        <f t="shared" ref="BB36:BH36" si="19">AVERAGEIF($B$5:$B$31,$F$36,BB5:BB31)</f>
        <v>#DIV/0!</v>
      </c>
      <c r="BC36" s="195">
        <f t="shared" si="19"/>
        <v>52.142857142857146</v>
      </c>
      <c r="BD36" s="195">
        <f t="shared" si="19"/>
        <v>13.333333333333334</v>
      </c>
      <c r="BE36" s="195">
        <f t="shared" si="19"/>
        <v>7.8214285714285703</v>
      </c>
      <c r="BF36" s="195" t="e">
        <f t="shared" si="19"/>
        <v>#DIV/0!</v>
      </c>
      <c r="BG36" s="195">
        <f t="shared" si="19"/>
        <v>7.4285714285714288</v>
      </c>
      <c r="BH36" s="171" t="e">
        <f t="shared" si="19"/>
        <v>#DIV/0!</v>
      </c>
      <c r="BI36" s="171">
        <f>SUMIF($B$5:$B$31,$F$36,BI5:BI31)</f>
        <v>410</v>
      </c>
      <c r="BJ36" s="171" t="e">
        <f>AVERAGEIF($B$5:$B$31,$F$36,BJ5:BJ31)</f>
        <v>#DIV/0!</v>
      </c>
      <c r="BK36" s="172">
        <v>0.5</v>
      </c>
      <c r="BL36" s="172" t="e">
        <f>AVERAGEIF($B$5:$B$31,$F$36,BL5:BL31)</f>
        <v>#DIV/0!</v>
      </c>
      <c r="BM36" s="172">
        <v>0.45</v>
      </c>
      <c r="BN36" s="172" t="e">
        <f>AVERAGEIF($B$5:$B$31,$F$36,BN5:BN31)</f>
        <v>#DIV/0!</v>
      </c>
      <c r="BO36" s="220">
        <v>1</v>
      </c>
      <c r="BP36" s="145"/>
      <c r="BQ36" s="145" t="e">
        <f>AVERAGEIF($B$5:$B$31,$F$36,BQ5:BQ31)</f>
        <v>#DIV/0!</v>
      </c>
      <c r="BR36" s="202" t="s">
        <v>88</v>
      </c>
      <c r="BS36" s="173">
        <f>AVERAGEIF($B$5:$B$31,$F$36,BS5:BS31)</f>
        <v>5.5285714285714276</v>
      </c>
      <c r="BT36" s="171" t="e">
        <f>AVERAGEIF($B$5:$B$31,$F$36,BT5:BT31)</f>
        <v>#DIV/0!</v>
      </c>
      <c r="BU36" s="171" t="e">
        <f>AVERAGEIF($B$5:$B$31,$F$36,BU5:BU31)</f>
        <v>#DIV/0!</v>
      </c>
      <c r="BV36" s="172">
        <v>0.23499999999999999</v>
      </c>
      <c r="BW36" s="172" t="e">
        <f>AVERAGEIF($B$5:$B$31,$F$36,BW5:BW31)</f>
        <v>#DIV/0!</v>
      </c>
      <c r="BX36" s="172" t="e">
        <f>AVERAGEIF($B$5:$B$31,$F$36,BX5:BX31)</f>
        <v>#DIV/0!</v>
      </c>
      <c r="BY36" s="220">
        <f>AVERAGEIF($B$5:$B$31,$F$36,BY5:BY31)</f>
        <v>0.04</v>
      </c>
    </row>
    <row r="37" spans="4:77" s="175" customFormat="1" ht="20" customHeight="1" thickBot="1" x14ac:dyDescent="0.2">
      <c r="E37" s="177"/>
      <c r="F37" s="204"/>
      <c r="G37" s="205"/>
      <c r="H37" s="206"/>
      <c r="I37" s="207"/>
      <c r="J37" s="207"/>
      <c r="K37" s="207"/>
      <c r="L37" s="208"/>
      <c r="M37" s="176"/>
      <c r="N37" s="177"/>
      <c r="O37" s="204"/>
      <c r="P37" s="205"/>
      <c r="Q37" s="209" t="s">
        <v>95</v>
      </c>
      <c r="R37" s="207"/>
      <c r="S37" s="207"/>
      <c r="T37" s="207"/>
      <c r="U37" s="209" t="s">
        <v>97</v>
      </c>
      <c r="V37" s="207"/>
      <c r="W37" s="207"/>
      <c r="X37" s="207"/>
      <c r="Y37" s="208"/>
      <c r="Z37" s="177"/>
      <c r="AA37" s="176"/>
      <c r="AB37" s="204"/>
      <c r="AC37" s="211"/>
      <c r="AD37" s="211"/>
      <c r="AE37" s="212"/>
      <c r="AF37" s="211"/>
      <c r="AG37" s="211"/>
      <c r="AH37" s="211"/>
      <c r="AI37" s="212"/>
      <c r="AJ37" s="213"/>
      <c r="AK37" s="176"/>
      <c r="AL37" s="176"/>
      <c r="AM37" s="204"/>
      <c r="AN37" s="212"/>
      <c r="AO37" s="212" t="s">
        <v>75</v>
      </c>
      <c r="AP37" s="205"/>
      <c r="AQ37" s="205" t="s">
        <v>57</v>
      </c>
      <c r="AR37" s="205"/>
      <c r="AS37" s="205" t="s">
        <v>57</v>
      </c>
      <c r="AT37" s="216"/>
      <c r="AU37" s="216"/>
      <c r="AV37" s="216"/>
      <c r="AW37" s="217"/>
      <c r="AX37" s="218"/>
      <c r="AY37" s="176"/>
      <c r="AZ37" s="176"/>
      <c r="BA37" s="204"/>
      <c r="BB37" s="212"/>
      <c r="BC37" s="221"/>
      <c r="BD37" s="221"/>
      <c r="BE37" s="221"/>
      <c r="BF37" s="221"/>
      <c r="BG37" s="221"/>
      <c r="BH37" s="212"/>
      <c r="BI37" s="212">
        <v>59</v>
      </c>
      <c r="BJ37" s="212"/>
      <c r="BK37" s="212" t="s">
        <v>99</v>
      </c>
      <c r="BL37" s="212" t="s">
        <v>99</v>
      </c>
      <c r="BM37" s="212" t="s">
        <v>99</v>
      </c>
      <c r="BN37" s="212" t="s">
        <v>99</v>
      </c>
      <c r="BO37" s="218" t="s">
        <v>99</v>
      </c>
      <c r="BP37" s="176"/>
      <c r="BQ37" s="176"/>
      <c r="BR37" s="204"/>
      <c r="BS37" s="223"/>
      <c r="BT37" s="224"/>
      <c r="BU37" s="224"/>
      <c r="BV37" s="224"/>
      <c r="BW37" s="224"/>
      <c r="BX37" s="224"/>
      <c r="BY37" s="225"/>
    </row>
    <row r="39" spans="4:77" x14ac:dyDescent="0.15">
      <c r="H39" s="261"/>
      <c r="I39" s="261"/>
      <c r="J39" s="261"/>
      <c r="K39" s="261"/>
      <c r="L39" s="261"/>
      <c r="Q39" s="261"/>
      <c r="R39" s="261"/>
      <c r="S39" s="262"/>
      <c r="T39" s="261"/>
      <c r="U39" s="261"/>
      <c r="V39" s="261"/>
      <c r="W39" s="261"/>
      <c r="X39" s="261"/>
      <c r="Y39" s="261"/>
      <c r="AD39" s="261"/>
      <c r="AE39" s="261"/>
      <c r="AF39" s="261"/>
      <c r="AG39" s="261"/>
      <c r="AH39" s="261"/>
      <c r="AI39" s="261"/>
      <c r="AJ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2"/>
      <c r="BM39" s="261"/>
      <c r="BN39" s="261"/>
      <c r="BO39" s="261"/>
      <c r="BS39" s="263"/>
      <c r="BT39" s="264"/>
      <c r="BU39" s="264"/>
      <c r="BV39" s="264"/>
      <c r="BW39" s="264"/>
      <c r="BX39" s="264"/>
      <c r="BY39" s="264"/>
    </row>
    <row r="47" spans="4:77" x14ac:dyDescent="0.15">
      <c r="H47" s="6">
        <v>0.1</v>
      </c>
      <c r="J47" s="6">
        <v>0.1</v>
      </c>
      <c r="L47" s="6">
        <v>0.1</v>
      </c>
      <c r="BI47" s="1" t="s">
        <v>36</v>
      </c>
      <c r="BS47" s="1" t="s">
        <v>36</v>
      </c>
    </row>
    <row r="48" spans="4:77" x14ac:dyDescent="0.15">
      <c r="H48" s="1" t="s">
        <v>35</v>
      </c>
      <c r="J48" s="1" t="s">
        <v>35</v>
      </c>
      <c r="L48" s="1" t="s">
        <v>35</v>
      </c>
      <c r="Q48" s="1" t="s">
        <v>35</v>
      </c>
      <c r="S48" s="2" t="s">
        <v>35</v>
      </c>
      <c r="U48" s="1" t="s">
        <v>35</v>
      </c>
      <c r="W48" s="1" t="s">
        <v>35</v>
      </c>
      <c r="Y48" s="1" t="s">
        <v>35</v>
      </c>
      <c r="AD48" s="1" t="s">
        <v>35</v>
      </c>
      <c r="AF48" s="1" t="s">
        <v>35</v>
      </c>
      <c r="AH48" s="1" t="s">
        <v>35</v>
      </c>
      <c r="AJ48" s="1" t="s">
        <v>35</v>
      </c>
      <c r="AQ48" s="1" t="s">
        <v>35</v>
      </c>
      <c r="AS48" s="1" t="s">
        <v>35</v>
      </c>
      <c r="AV48" s="1" t="s">
        <v>35</v>
      </c>
      <c r="AX48" s="1" t="s">
        <v>35</v>
      </c>
      <c r="BC48" s="1" t="s">
        <v>35</v>
      </c>
      <c r="BE48" s="1" t="s">
        <v>35</v>
      </c>
      <c r="BG48" s="1" t="s">
        <v>35</v>
      </c>
      <c r="BI48" s="1" t="s">
        <v>35</v>
      </c>
      <c r="BK48" s="1" t="s">
        <v>35</v>
      </c>
      <c r="BM48" s="1" t="s">
        <v>35</v>
      </c>
      <c r="BO48" s="1" t="s">
        <v>35</v>
      </c>
      <c r="BS48" s="1" t="s">
        <v>35</v>
      </c>
      <c r="BV48" s="2" t="s">
        <v>35</v>
      </c>
      <c r="BY48" s="2" t="s">
        <v>35</v>
      </c>
    </row>
  </sheetData>
  <mergeCells count="13">
    <mergeCell ref="BA2:BO2"/>
    <mergeCell ref="BR2:BY2"/>
    <mergeCell ref="F2:L2"/>
    <mergeCell ref="AU3:AV3"/>
    <mergeCell ref="AU4:AV4"/>
    <mergeCell ref="O2:Y2"/>
    <mergeCell ref="AB2:AJ2"/>
    <mergeCell ref="AM2:AX2"/>
    <mergeCell ref="BO32:BO33"/>
    <mergeCell ref="BM32:BM33"/>
    <mergeCell ref="BK32:BK33"/>
    <mergeCell ref="BI32:BI33"/>
    <mergeCell ref="AU32:AV32"/>
  </mergeCells>
  <phoneticPr fontId="31" type="noConversion"/>
  <conditionalFormatting sqref="F5:L31">
    <cfRule type="expression" dxfId="5" priority="8">
      <formula>MOD(ROW(),2)=0</formula>
    </cfRule>
  </conditionalFormatting>
  <conditionalFormatting sqref="O5:Y31">
    <cfRule type="expression" dxfId="4" priority="7" stopIfTrue="1">
      <formula>MOD(ROW(),2)=0</formula>
    </cfRule>
  </conditionalFormatting>
  <conditionalFormatting sqref="AB5:AJ31">
    <cfRule type="expression" dxfId="3" priority="6" stopIfTrue="1">
      <formula>MOD(ROW(),2)=0</formula>
    </cfRule>
  </conditionalFormatting>
  <conditionalFormatting sqref="AM5:AX31">
    <cfRule type="expression" dxfId="2" priority="4" stopIfTrue="1">
      <formula>MOD(ROW(),2)=0</formula>
    </cfRule>
  </conditionalFormatting>
  <conditionalFormatting sqref="BA5:BO31">
    <cfRule type="expression" dxfId="1" priority="3">
      <formula>MOD(ROW(),2)=0</formula>
    </cfRule>
  </conditionalFormatting>
  <conditionalFormatting sqref="BR5:BY31">
    <cfRule type="expression" dxfId="0" priority="2" stopIfTrue="1">
      <formula>MOD(ROW(),2)=0</formula>
    </cfRule>
  </conditionalFormatting>
  <pageMargins left="0.7" right="0.7" top="0.75" bottom="0.75" header="0.3" footer="0.3"/>
  <pageSetup scale="91" fitToWidth="6" fitToHeight="6" orientation="portrait" horizontalDpi="0" verticalDpi="0"/>
  <colBreaks count="5" manualBreakCount="5">
    <brk id="13" max="36" man="1"/>
    <brk id="25" max="36" man="1"/>
    <brk id="36" max="36" man="1"/>
    <brk id="50" max="36" man="1"/>
    <brk id="67" max="36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8CB4-4926-E54D-93F7-CEFF5A544D63}">
  <sheetPr codeName="Sheet2"/>
  <dimension ref="A1"/>
  <sheetViews>
    <sheetView workbookViewId="0">
      <selection sqref="A1:K1048576"/>
    </sheetView>
  </sheetViews>
  <sheetFormatPr baseColWidth="10" defaultRowHeight="13" x14ac:dyDescent="0.15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Sheet1</vt:lpstr>
      <vt:lpstr>'Table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Fletcher Reaves</dc:creator>
  <cp:lastModifiedBy>Fletcher Reaves</cp:lastModifiedBy>
  <cp:lastPrinted>2026-04-01T21:38:41Z</cp:lastPrinted>
  <dcterms:created xsi:type="dcterms:W3CDTF">2026-03-14T22:02:21Z</dcterms:created>
  <dcterms:modified xsi:type="dcterms:W3CDTF">2026-09-08T13:49:00Z</dcterms:modified>
</cp:coreProperties>
</file>