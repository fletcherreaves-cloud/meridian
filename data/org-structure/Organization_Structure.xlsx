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fletcherreaves/Library/Mobile Documents/com~apple~CloudDocs/McDonald's/2026/1 - Daily/"/>
    </mc:Choice>
  </mc:AlternateContent>
  <xr:revisionPtr revIDLastSave="0" documentId="13_ncr:1_{6B1DD349-4301-3443-87D7-44124D8C5B75}" xr6:coauthVersionLast="47" xr6:coauthVersionMax="47" xr10:uidLastSave="{00000000-0000-0000-0000-000000000000}"/>
  <bookViews>
    <workbookView xWindow="-38400" yWindow="600" windowWidth="38400" windowHeight="19540" activeTab="2" xr2:uid="{00000000-000D-0000-FFFF-FFFF00000000}"/>
  </bookViews>
  <sheets>
    <sheet name="Locations" sheetId="1" r:id="rId1"/>
    <sheet name="FC-Inv Setup" sheetId="2" r:id="rId2"/>
    <sheet name="Scheduling Setup" sheetId="3" r:id="rId3"/>
    <sheet name="IMET" sheetId="4" r:id="rId4"/>
    <sheet name="3708" sheetId="5" r:id="rId5"/>
    <sheet name="5183" sheetId="6" r:id="rId6"/>
    <sheet name="5985" sheetId="7" r:id="rId7"/>
    <sheet name="6972" sheetId="8" r:id="rId8"/>
    <sheet name="10422" sheetId="9" r:id="rId9"/>
    <sheet name="10915" sheetId="10" r:id="rId10"/>
    <sheet name="11657" sheetId="11" r:id="rId11"/>
    <sheet name="13113" sheetId="12" r:id="rId12"/>
    <sheet name="18213" sheetId="13" r:id="rId13"/>
    <sheet name="20475" sheetId="14" r:id="rId14"/>
    <sheet name="24471" sheetId="15" r:id="rId15"/>
    <sheet name="29760" sheetId="16" r:id="rId16"/>
    <sheet name="31357" sheetId="17" r:id="rId17"/>
    <sheet name="32525" sheetId="18" r:id="rId18"/>
    <sheet name="33109" sheetId="19" r:id="rId19"/>
    <sheet name="33222" sheetId="20" r:id="rId20"/>
    <sheet name="33704" sheetId="21" r:id="rId21"/>
    <sheet name="34222" sheetId="22" r:id="rId22"/>
    <sheet name="35064" sheetId="23" r:id="rId23"/>
    <sheet name="43380" sheetId="24" r:id="rId24"/>
    <sheet name="Risk Profiles" sheetId="25" r:id="rId25"/>
    <sheet name="RGR Dates" sheetId="26" r:id="rId26"/>
    <sheet name="Other Location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7" l="1"/>
  <c r="K8" i="27"/>
  <c r="K7" i="27"/>
  <c r="K6" i="27"/>
  <c r="K5" i="27"/>
  <c r="K4" i="27"/>
  <c r="K3" i="27"/>
  <c r="K2" i="27"/>
  <c r="D1" i="17"/>
  <c r="B4" i="14"/>
  <c r="D1" i="14"/>
  <c r="J22" i="2"/>
  <c r="B5" i="13" s="1"/>
  <c r="I22" i="2"/>
  <c r="D1" i="13" s="1"/>
  <c r="E22" i="2"/>
  <c r="B4" i="13" s="1"/>
  <c r="D22" i="2"/>
  <c r="B3" i="13" s="1"/>
  <c r="C22" i="2"/>
  <c r="B2" i="13" s="1"/>
  <c r="J21" i="2"/>
  <c r="B5" i="18" s="1"/>
  <c r="I21" i="2"/>
  <c r="D1" i="18" s="1"/>
  <c r="E21" i="2"/>
  <c r="B4" i="18" s="1"/>
  <c r="D21" i="2"/>
  <c r="B3" i="18" s="1"/>
  <c r="C21" i="2"/>
  <c r="B2" i="18" s="1"/>
  <c r="J20" i="2"/>
  <c r="B5" i="16" s="1"/>
  <c r="I20" i="2"/>
  <c r="D1" i="16" s="1"/>
  <c r="E20" i="2"/>
  <c r="B4" i="16" s="1"/>
  <c r="D20" i="2"/>
  <c r="B3" i="16" s="1"/>
  <c r="C20" i="2"/>
  <c r="B2" i="16" s="1"/>
  <c r="J19" i="2"/>
  <c r="B5" i="15" s="1"/>
  <c r="I19" i="2"/>
  <c r="D1" i="15" s="1"/>
  <c r="E19" i="2"/>
  <c r="B4" i="15" s="1"/>
  <c r="D19" i="2"/>
  <c r="B3" i="15" s="1"/>
  <c r="C19" i="2"/>
  <c r="B2" i="15" s="1"/>
  <c r="J18" i="2"/>
  <c r="B5" i="19" s="1"/>
  <c r="I18" i="2"/>
  <c r="D1" i="19" s="1"/>
  <c r="E18" i="2"/>
  <c r="B4" i="19" s="1"/>
  <c r="D18" i="2"/>
  <c r="B3" i="19" s="1"/>
  <c r="C18" i="2"/>
  <c r="B2" i="19" s="1"/>
  <c r="J17" i="2"/>
  <c r="B5" i="6" s="1"/>
  <c r="I17" i="2"/>
  <c r="D1" i="6" s="1"/>
  <c r="E17" i="2"/>
  <c r="B4" i="6" s="1"/>
  <c r="D17" i="2"/>
  <c r="B3" i="6" s="1"/>
  <c r="C17" i="2"/>
  <c r="B2" i="6" s="1"/>
  <c r="J16" i="2"/>
  <c r="B5" i="5" s="1"/>
  <c r="I16" i="2"/>
  <c r="D1" i="5" s="1"/>
  <c r="E16" i="2"/>
  <c r="B4" i="5" s="1"/>
  <c r="D16" i="2"/>
  <c r="B3" i="5" s="1"/>
  <c r="C16" i="2"/>
  <c r="B2" i="5" s="1"/>
  <c r="J15" i="2"/>
  <c r="B5" i="24" s="1"/>
  <c r="I15" i="2"/>
  <c r="D1" i="24" s="1"/>
  <c r="E15" i="2"/>
  <c r="B4" i="24" s="1"/>
  <c r="D15" i="2"/>
  <c r="B3" i="24" s="1"/>
  <c r="C15" i="2"/>
  <c r="B2" i="24" s="1"/>
  <c r="J14" i="2"/>
  <c r="B5" i="23" s="1"/>
  <c r="I14" i="2"/>
  <c r="D1" i="23" s="1"/>
  <c r="E14" i="2"/>
  <c r="B4" i="23" s="1"/>
  <c r="D14" i="2"/>
  <c r="B3" i="23" s="1"/>
  <c r="C14" i="2"/>
  <c r="B2" i="23" s="1"/>
  <c r="J13" i="2"/>
  <c r="B5" i="17" s="1"/>
  <c r="E13" i="2"/>
  <c r="B4" i="17" s="1"/>
  <c r="D13" i="2"/>
  <c r="B3" i="17" s="1"/>
  <c r="C13" i="2"/>
  <c r="B2" i="17" s="1"/>
  <c r="J12" i="2"/>
  <c r="B5" i="12" s="1"/>
  <c r="I12" i="2"/>
  <c r="D1" i="12" s="1"/>
  <c r="E12" i="2"/>
  <c r="B4" i="12" s="1"/>
  <c r="D12" i="2"/>
  <c r="B3" i="12" s="1"/>
  <c r="C12" i="2"/>
  <c r="B2" i="12" s="1"/>
  <c r="J11" i="2"/>
  <c r="B5" i="20" s="1"/>
  <c r="I11" i="2"/>
  <c r="D1" i="20" s="1"/>
  <c r="E11" i="2"/>
  <c r="B4" i="20" s="1"/>
  <c r="D11" i="2"/>
  <c r="B3" i="20" s="1"/>
  <c r="C11" i="2"/>
  <c r="B2" i="20" s="1"/>
  <c r="J10" i="2"/>
  <c r="B5" i="22" s="1"/>
  <c r="I10" i="2"/>
  <c r="D1" i="22" s="1"/>
  <c r="E10" i="2"/>
  <c r="B4" i="22" s="1"/>
  <c r="D10" i="2"/>
  <c r="B3" i="22" s="1"/>
  <c r="C10" i="2"/>
  <c r="B2" i="22" s="1"/>
  <c r="J9" i="2"/>
  <c r="B5" i="11" s="1"/>
  <c r="I9" i="2"/>
  <c r="D1" i="11" s="1"/>
  <c r="E9" i="2"/>
  <c r="B4" i="11" s="1"/>
  <c r="D9" i="2"/>
  <c r="B3" i="11" s="1"/>
  <c r="C9" i="2"/>
  <c r="B2" i="11" s="1"/>
  <c r="J8" i="2"/>
  <c r="B5" i="21" s="1"/>
  <c r="I8" i="2"/>
  <c r="D1" i="21" s="1"/>
  <c r="E8" i="2"/>
  <c r="B4" i="21" s="1"/>
  <c r="D8" i="2"/>
  <c r="B3" i="21" s="1"/>
  <c r="C8" i="2"/>
  <c r="B2" i="21" s="1"/>
  <c r="J7" i="2"/>
  <c r="B5" i="14" s="1"/>
  <c r="I7" i="2"/>
  <c r="D7" i="2"/>
  <c r="B3" i="14" s="1"/>
  <c r="C7" i="2"/>
  <c r="B2" i="14" s="1"/>
  <c r="J6" i="2"/>
  <c r="B5" i="7" s="1"/>
  <c r="I6" i="2"/>
  <c r="D1" i="7" s="1"/>
  <c r="E6" i="2"/>
  <c r="B4" i="7" s="1"/>
  <c r="D6" i="2"/>
  <c r="B3" i="7" s="1"/>
  <c r="C6" i="2"/>
  <c r="B2" i="7" s="1"/>
  <c r="J5" i="2"/>
  <c r="B5" i="10" s="1"/>
  <c r="I5" i="2"/>
  <c r="D1" i="10" s="1"/>
  <c r="E5" i="2"/>
  <c r="B4" i="10" s="1"/>
  <c r="D5" i="2"/>
  <c r="B3" i="10" s="1"/>
  <c r="C5" i="2"/>
  <c r="B2" i="10" s="1"/>
  <c r="J4" i="2"/>
  <c r="B5" i="8" s="1"/>
  <c r="I4" i="2"/>
  <c r="D1" i="8" s="1"/>
  <c r="E4" i="2"/>
  <c r="B4" i="8" s="1"/>
  <c r="D4" i="2"/>
  <c r="B3" i="8" s="1"/>
  <c r="C4" i="2"/>
  <c r="B2" i="8" s="1"/>
  <c r="J3" i="2"/>
  <c r="B5" i="9" s="1"/>
  <c r="I3" i="2"/>
  <c r="D1" i="9" s="1"/>
  <c r="E3" i="2"/>
  <c r="B4" i="9" s="1"/>
  <c r="D3" i="2"/>
  <c r="B3" i="9" s="1"/>
  <c r="C3" i="2"/>
  <c r="B2" i="9" s="1"/>
  <c r="A1" i="2"/>
  <c r="A34" i="1"/>
  <c r="AA32" i="1"/>
  <c r="X32" i="1"/>
  <c r="W32" i="1"/>
  <c r="V32" i="1"/>
  <c r="U32" i="1"/>
  <c r="C32" i="1"/>
  <c r="AA31" i="1"/>
  <c r="X31" i="1"/>
  <c r="W31" i="1"/>
  <c r="V31" i="1"/>
  <c r="U31" i="1"/>
  <c r="C31" i="1"/>
  <c r="AA30" i="1"/>
  <c r="X30" i="1"/>
  <c r="W30" i="1"/>
  <c r="V30" i="1"/>
  <c r="U30" i="1"/>
  <c r="C30" i="1"/>
  <c r="AA29" i="1"/>
  <c r="X29" i="1"/>
  <c r="W29" i="1"/>
  <c r="V29" i="1"/>
  <c r="U29" i="1"/>
  <c r="N29" i="1"/>
  <c r="M29" i="1"/>
  <c r="J29" i="1"/>
  <c r="H29" i="1"/>
  <c r="C29" i="1"/>
  <c r="AA28" i="1"/>
  <c r="X28" i="1"/>
  <c r="W28" i="1"/>
  <c r="V28" i="1"/>
  <c r="U28" i="1"/>
  <c r="N28" i="1"/>
  <c r="M28" i="1"/>
  <c r="J28" i="1"/>
  <c r="H28" i="1"/>
  <c r="C28" i="1"/>
  <c r="AA27" i="1"/>
  <c r="X27" i="1"/>
  <c r="W27" i="1"/>
  <c r="V27" i="1"/>
  <c r="U27" i="1"/>
  <c r="N27" i="1"/>
  <c r="M27" i="1"/>
  <c r="J27" i="1"/>
  <c r="H27" i="1"/>
  <c r="C27" i="1"/>
  <c r="AA26" i="1"/>
  <c r="X26" i="1"/>
  <c r="W26" i="1"/>
  <c r="V26" i="1"/>
  <c r="U26" i="1"/>
  <c r="N26" i="1"/>
  <c r="M26" i="1"/>
  <c r="J26" i="1"/>
  <c r="H26" i="1"/>
  <c r="C26" i="1"/>
  <c r="AA25" i="1"/>
  <c r="X25" i="1"/>
  <c r="W25" i="1"/>
  <c r="V25" i="1"/>
  <c r="U25" i="1"/>
  <c r="N25" i="1"/>
  <c r="M25" i="1"/>
  <c r="J25" i="1"/>
  <c r="H25" i="1"/>
  <c r="C25" i="1"/>
  <c r="AA24" i="1"/>
  <c r="X24" i="1"/>
  <c r="W24" i="1"/>
  <c r="V24" i="1"/>
  <c r="U24" i="1"/>
  <c r="N24" i="1"/>
  <c r="M24" i="1"/>
  <c r="J24" i="1"/>
  <c r="H24" i="1"/>
  <c r="C24" i="1"/>
  <c r="AA23" i="1"/>
  <c r="X23" i="1"/>
  <c r="W23" i="1"/>
  <c r="V23" i="1"/>
  <c r="U23" i="1"/>
  <c r="N23" i="1"/>
  <c r="M23" i="1"/>
  <c r="J23" i="1"/>
  <c r="H23" i="1"/>
  <c r="C23" i="1"/>
  <c r="BI22" i="1"/>
  <c r="BH22" i="1"/>
  <c r="BD22" i="1"/>
  <c r="BC22" i="1"/>
  <c r="BB22" i="1"/>
  <c r="AA22" i="1"/>
  <c r="X22" i="1"/>
  <c r="W22" i="1"/>
  <c r="V22" i="1"/>
  <c r="U22" i="1"/>
  <c r="K15" i="2" s="1"/>
  <c r="D2" i="24" s="1"/>
  <c r="N22" i="1"/>
  <c r="M22" i="1"/>
  <c r="J22" i="1"/>
  <c r="H22" i="1"/>
  <c r="BI21" i="1"/>
  <c r="BH21" i="1"/>
  <c r="BD21" i="1"/>
  <c r="BC21" i="1"/>
  <c r="BB21" i="1"/>
  <c r="AA21" i="1"/>
  <c r="X21" i="1"/>
  <c r="W21" i="1"/>
  <c r="V21" i="1"/>
  <c r="U21" i="1"/>
  <c r="K14" i="2" s="1"/>
  <c r="D2" i="23" s="1"/>
  <c r="N21" i="1"/>
  <c r="M21" i="1"/>
  <c r="J21" i="1"/>
  <c r="H21" i="1"/>
  <c r="BI20" i="1"/>
  <c r="BH20" i="1"/>
  <c r="BD20" i="1"/>
  <c r="BC20" i="1"/>
  <c r="BB20" i="1"/>
  <c r="AA20" i="1"/>
  <c r="X20" i="1"/>
  <c r="W20" i="1"/>
  <c r="V20" i="1"/>
  <c r="U20" i="1"/>
  <c r="BJ19" i="1" s="1"/>
  <c r="N20" i="1"/>
  <c r="M20" i="1"/>
  <c r="J20" i="1"/>
  <c r="H20" i="1"/>
  <c r="C20" i="1"/>
  <c r="BI19" i="1"/>
  <c r="BH19" i="1"/>
  <c r="BD19" i="1"/>
  <c r="BC19" i="1"/>
  <c r="BB19" i="1"/>
  <c r="AA19" i="1"/>
  <c r="X19" i="1"/>
  <c r="W19" i="1"/>
  <c r="V19" i="1"/>
  <c r="U19" i="1"/>
  <c r="K8" i="2" s="1"/>
  <c r="D2" i="21" s="1"/>
  <c r="N19" i="1"/>
  <c r="M19" i="1"/>
  <c r="J19" i="1"/>
  <c r="H19" i="1"/>
  <c r="C19" i="1"/>
  <c r="BI18" i="1"/>
  <c r="BH18" i="1"/>
  <c r="BD18" i="1"/>
  <c r="BC18" i="1"/>
  <c r="BB18" i="1"/>
  <c r="AA18" i="1"/>
  <c r="X18" i="1"/>
  <c r="W18" i="1"/>
  <c r="V18" i="1"/>
  <c r="U18" i="1"/>
  <c r="BJ14" i="1" s="1"/>
  <c r="N18" i="1"/>
  <c r="M18" i="1"/>
  <c r="J18" i="1"/>
  <c r="H18" i="1"/>
  <c r="C18" i="1"/>
  <c r="BI17" i="1"/>
  <c r="BH17" i="1"/>
  <c r="BD17" i="1"/>
  <c r="BC17" i="1"/>
  <c r="BB17" i="1"/>
  <c r="AA17" i="1"/>
  <c r="X17" i="1"/>
  <c r="W17" i="1"/>
  <c r="V17" i="1"/>
  <c r="U17" i="1"/>
  <c r="K18" i="2" s="1"/>
  <c r="D2" i="19" s="1"/>
  <c r="N17" i="1"/>
  <c r="M17" i="1"/>
  <c r="J17" i="1"/>
  <c r="H17" i="1"/>
  <c r="BI16" i="1"/>
  <c r="BH16" i="1"/>
  <c r="BD16" i="1"/>
  <c r="BC16" i="1"/>
  <c r="BB16" i="1"/>
  <c r="AA16" i="1"/>
  <c r="X16" i="1"/>
  <c r="W16" i="1"/>
  <c r="V16" i="1"/>
  <c r="U16" i="1"/>
  <c r="K21" i="2" s="1"/>
  <c r="D2" i="18" s="1"/>
  <c r="N16" i="1"/>
  <c r="M16" i="1"/>
  <c r="J16" i="1"/>
  <c r="H16" i="1"/>
  <c r="C16" i="1"/>
  <c r="BI15" i="1"/>
  <c r="BH15" i="1"/>
  <c r="BD15" i="1"/>
  <c r="BC15" i="1"/>
  <c r="BB15" i="1"/>
  <c r="AA15" i="1"/>
  <c r="X15" i="1"/>
  <c r="W15" i="1"/>
  <c r="V15" i="1"/>
  <c r="U15" i="1"/>
  <c r="K13" i="2" s="1"/>
  <c r="D2" i="17" s="1"/>
  <c r="N15" i="1"/>
  <c r="M15" i="1"/>
  <c r="J15" i="1"/>
  <c r="H15" i="1"/>
  <c r="C15" i="1"/>
  <c r="BI14" i="1"/>
  <c r="BH14" i="1"/>
  <c r="BD14" i="1"/>
  <c r="BC14" i="1"/>
  <c r="BB14" i="1"/>
  <c r="AA14" i="1"/>
  <c r="X14" i="1"/>
  <c r="W14" i="1"/>
  <c r="V14" i="1"/>
  <c r="U14" i="1"/>
  <c r="K20" i="2" s="1"/>
  <c r="D2" i="16" s="1"/>
  <c r="N14" i="1"/>
  <c r="M14" i="1"/>
  <c r="J14" i="1"/>
  <c r="H14" i="1"/>
  <c r="C14" i="1"/>
  <c r="BI13" i="1"/>
  <c r="BH13" i="1"/>
  <c r="BD13" i="1"/>
  <c r="BC13" i="1"/>
  <c r="BB13" i="1"/>
  <c r="AA13" i="1"/>
  <c r="X13" i="1"/>
  <c r="W13" i="1"/>
  <c r="V13" i="1"/>
  <c r="U13" i="1"/>
  <c r="K19" i="2" s="1"/>
  <c r="D2" i="15" s="1"/>
  <c r="N13" i="1"/>
  <c r="M13" i="1"/>
  <c r="J13" i="1"/>
  <c r="H13" i="1"/>
  <c r="C13" i="1"/>
  <c r="BI12" i="1"/>
  <c r="BH12" i="1"/>
  <c r="BD12" i="1"/>
  <c r="BC12" i="1"/>
  <c r="BB12" i="1"/>
  <c r="AA12" i="1"/>
  <c r="X12" i="1"/>
  <c r="W12" i="1"/>
  <c r="V12" i="1"/>
  <c r="U12" i="1"/>
  <c r="BJ11" i="1" s="1"/>
  <c r="N12" i="1"/>
  <c r="M12" i="1"/>
  <c r="J12" i="1"/>
  <c r="H12" i="1"/>
  <c r="C12" i="1"/>
  <c r="BI11" i="1"/>
  <c r="BH11" i="1"/>
  <c r="BD11" i="1"/>
  <c r="BC11" i="1"/>
  <c r="BB11" i="1"/>
  <c r="AA11" i="1"/>
  <c r="X11" i="1"/>
  <c r="W11" i="1"/>
  <c r="V11" i="1"/>
  <c r="U11" i="1"/>
  <c r="K22" i="2" s="1"/>
  <c r="D2" i="13" s="1"/>
  <c r="N11" i="1"/>
  <c r="M11" i="1"/>
  <c r="J11" i="1"/>
  <c r="H11" i="1"/>
  <c r="C11" i="1"/>
  <c r="BI10" i="1"/>
  <c r="BH10" i="1"/>
  <c r="BD10" i="1"/>
  <c r="BC10" i="1"/>
  <c r="BB10" i="1"/>
  <c r="AA10" i="1"/>
  <c r="X10" i="1"/>
  <c r="W10" i="1"/>
  <c r="V10" i="1"/>
  <c r="U10" i="1"/>
  <c r="BJ12" i="1" s="1"/>
  <c r="N10" i="1"/>
  <c r="M10" i="1"/>
  <c r="J10" i="1"/>
  <c r="H10" i="1"/>
  <c r="BI9" i="1"/>
  <c r="BH9" i="1"/>
  <c r="BD9" i="1"/>
  <c r="BC9" i="1"/>
  <c r="BB9" i="1"/>
  <c r="AA9" i="1"/>
  <c r="X9" i="1"/>
  <c r="W9" i="1"/>
  <c r="V9" i="1"/>
  <c r="U9" i="1"/>
  <c r="K9" i="2" s="1"/>
  <c r="D2" i="11" s="1"/>
  <c r="N9" i="1"/>
  <c r="M9" i="1"/>
  <c r="J9" i="1"/>
  <c r="H9" i="1"/>
  <c r="C9" i="1"/>
  <c r="BI8" i="1"/>
  <c r="BH8" i="1"/>
  <c r="BD8" i="1"/>
  <c r="BC8" i="1"/>
  <c r="BB8" i="1"/>
  <c r="AA8" i="1"/>
  <c r="X8" i="1"/>
  <c r="W8" i="1"/>
  <c r="V8" i="1"/>
  <c r="U8" i="1"/>
  <c r="BJ15" i="1" s="1"/>
  <c r="N8" i="1"/>
  <c r="M8" i="1"/>
  <c r="J8" i="1"/>
  <c r="H8" i="1"/>
  <c r="C8" i="1"/>
  <c r="BI7" i="1"/>
  <c r="BH7" i="1"/>
  <c r="BD7" i="1"/>
  <c r="BC7" i="1"/>
  <c r="BB7" i="1"/>
  <c r="AA7" i="1"/>
  <c r="X7" i="1"/>
  <c r="W7" i="1"/>
  <c r="V7" i="1"/>
  <c r="U7" i="1"/>
  <c r="K3" i="2" s="1"/>
  <c r="D2" i="9" s="1"/>
  <c r="N7" i="1"/>
  <c r="M7" i="1"/>
  <c r="J7" i="1"/>
  <c r="H7" i="1"/>
  <c r="BI6" i="1"/>
  <c r="BH6" i="1"/>
  <c r="BD6" i="1"/>
  <c r="BC6" i="1"/>
  <c r="BB6" i="1"/>
  <c r="AA6" i="1"/>
  <c r="X6" i="1"/>
  <c r="W6" i="1"/>
  <c r="V6" i="1"/>
  <c r="U6" i="1"/>
  <c r="K4" i="2" s="1"/>
  <c r="D2" i="8" s="1"/>
  <c r="N6" i="1"/>
  <c r="M6" i="1"/>
  <c r="J6" i="1"/>
  <c r="H6" i="1"/>
  <c r="C6" i="1"/>
  <c r="BI5" i="1"/>
  <c r="BH5" i="1"/>
  <c r="BD5" i="1"/>
  <c r="BC5" i="1"/>
  <c r="BB5" i="1"/>
  <c r="AA5" i="1"/>
  <c r="X5" i="1"/>
  <c r="W5" i="1"/>
  <c r="V5" i="1"/>
  <c r="U5" i="1"/>
  <c r="K6" i="2" s="1"/>
  <c r="D2" i="7" s="1"/>
  <c r="N5" i="1"/>
  <c r="M5" i="1"/>
  <c r="J5" i="1"/>
  <c r="H5" i="1"/>
  <c r="BI4" i="1"/>
  <c r="BH4" i="1"/>
  <c r="BD4" i="1"/>
  <c r="BC4" i="1"/>
  <c r="BB4" i="1"/>
  <c r="AA4" i="1"/>
  <c r="X4" i="1"/>
  <c r="W4" i="1"/>
  <c r="V4" i="1"/>
  <c r="U4" i="1"/>
  <c r="K17" i="2" s="1"/>
  <c r="D2" i="6" s="1"/>
  <c r="N4" i="1"/>
  <c r="M4" i="1"/>
  <c r="J4" i="1"/>
  <c r="H4" i="1"/>
  <c r="C4" i="1"/>
  <c r="BI3" i="1"/>
  <c r="BH3" i="1"/>
  <c r="BD3" i="1"/>
  <c r="BC3" i="1"/>
  <c r="BB3" i="1"/>
  <c r="AA3" i="1"/>
  <c r="X3" i="1"/>
  <c r="W3" i="1"/>
  <c r="V3" i="1"/>
  <c r="U3" i="1"/>
  <c r="K16" i="2" s="1"/>
  <c r="D2" i="5" s="1"/>
  <c r="N3" i="1"/>
  <c r="M3" i="1"/>
  <c r="J3" i="1"/>
  <c r="H3" i="1"/>
  <c r="C3" i="1"/>
  <c r="AZ1" i="1"/>
  <c r="A31" i="3"/>
  <c r="A33" i="3" s="1"/>
  <c r="A35" i="3" s="1"/>
  <c r="A37" i="3" s="1"/>
  <c r="A30" i="3"/>
  <c r="A32" i="3" s="1"/>
  <c r="A34" i="3" s="1"/>
  <c r="A36" i="3" s="1"/>
  <c r="J22" i="3"/>
  <c r="I22" i="3"/>
  <c r="D22" i="3"/>
  <c r="C22" i="3"/>
  <c r="J21" i="3"/>
  <c r="I21" i="3"/>
  <c r="D21" i="3"/>
  <c r="C21" i="3"/>
  <c r="J20" i="3"/>
  <c r="D20" i="3"/>
  <c r="C20" i="3"/>
  <c r="J19" i="3"/>
  <c r="I19" i="3"/>
  <c r="D19" i="3"/>
  <c r="C19" i="3"/>
  <c r="J18" i="3"/>
  <c r="I18" i="3"/>
  <c r="D18" i="3"/>
  <c r="C18" i="3"/>
  <c r="J17" i="3"/>
  <c r="D17" i="3"/>
  <c r="C17" i="3"/>
  <c r="J16" i="3"/>
  <c r="I16" i="3"/>
  <c r="D16" i="3"/>
  <c r="C16" i="3"/>
  <c r="J15" i="3"/>
  <c r="I15" i="3"/>
  <c r="D15" i="3"/>
  <c r="C15" i="3"/>
  <c r="S14" i="3"/>
  <c r="R14" i="3"/>
  <c r="J14" i="3"/>
  <c r="I14" i="3"/>
  <c r="D14" i="3"/>
  <c r="C14" i="3"/>
  <c r="S13" i="3"/>
  <c r="R13" i="3"/>
  <c r="J13" i="3"/>
  <c r="I13" i="3"/>
  <c r="D13" i="3"/>
  <c r="C13" i="3"/>
  <c r="R12" i="3"/>
  <c r="J12" i="3"/>
  <c r="I12" i="3"/>
  <c r="D12" i="3"/>
  <c r="C12" i="3"/>
  <c r="R11" i="3"/>
  <c r="J11" i="3"/>
  <c r="I11" i="3"/>
  <c r="D11" i="3"/>
  <c r="C11" i="3"/>
  <c r="R10" i="3"/>
  <c r="J10" i="3"/>
  <c r="I10" i="3"/>
  <c r="D10" i="3"/>
  <c r="C10" i="3"/>
  <c r="R9" i="3"/>
  <c r="J9" i="3"/>
  <c r="I9" i="3"/>
  <c r="D9" i="3"/>
  <c r="C9" i="3"/>
  <c r="S8" i="3"/>
  <c r="R8" i="3" s="1"/>
  <c r="J8" i="3"/>
  <c r="I8" i="3"/>
  <c r="D8" i="3"/>
  <c r="C8" i="3"/>
  <c r="S7" i="3"/>
  <c r="R7" i="3"/>
  <c r="J7" i="3"/>
  <c r="I7" i="3"/>
  <c r="D7" i="3"/>
  <c r="C7" i="3"/>
  <c r="R6" i="3"/>
  <c r="J6" i="3"/>
  <c r="I6" i="3"/>
  <c r="D6" i="3"/>
  <c r="C6" i="3"/>
  <c r="R5" i="3"/>
  <c r="J5" i="3"/>
  <c r="I5" i="3"/>
  <c r="D5" i="3"/>
  <c r="C5" i="3"/>
  <c r="R4" i="3"/>
  <c r="J4" i="3"/>
  <c r="I4" i="3"/>
  <c r="D4" i="3"/>
  <c r="C4" i="3"/>
  <c r="R3" i="3"/>
  <c r="J3" i="3"/>
  <c r="I3" i="3"/>
  <c r="D3" i="3"/>
  <c r="C3" i="3"/>
  <c r="A1" i="3"/>
  <c r="BJ10" i="1" l="1"/>
  <c r="BJ3" i="1"/>
  <c r="BJ18" i="1"/>
  <c r="BJ6" i="1"/>
  <c r="BJ8" i="1"/>
  <c r="BJ20" i="1"/>
  <c r="BJ9" i="1"/>
  <c r="AK34" i="1"/>
  <c r="AK46" i="1"/>
  <c r="AK5" i="1"/>
  <c r="AK8" i="1"/>
  <c r="AK11" i="1"/>
  <c r="BJ13" i="1"/>
  <c r="BJ22" i="1"/>
  <c r="AK47" i="1"/>
  <c r="K10" i="2"/>
  <c r="D2" i="22" s="1"/>
  <c r="AK15" i="1"/>
  <c r="BJ4" i="1"/>
  <c r="AK14" i="1"/>
  <c r="BJ16" i="1"/>
  <c r="AK17" i="1"/>
  <c r="AK23" i="1"/>
  <c r="AK31" i="1"/>
  <c r="AK38" i="1"/>
  <c r="AK48" i="1"/>
  <c r="K5" i="2"/>
  <c r="D2" i="10" s="1"/>
  <c r="AK20" i="1"/>
  <c r="AK24" i="1"/>
  <c r="AK39" i="1"/>
  <c r="AK49" i="1"/>
  <c r="K7" i="2"/>
  <c r="D2" i="14" s="1"/>
  <c r="K12" i="2"/>
  <c r="D2" i="12" s="1"/>
  <c r="AK25" i="1"/>
  <c r="AK40" i="1"/>
  <c r="BJ7" i="1"/>
  <c r="AK4" i="1"/>
  <c r="AK13" i="1"/>
  <c r="BJ21" i="1"/>
  <c r="AK22" i="1"/>
  <c r="AK26" i="1"/>
  <c r="AK30" i="1"/>
  <c r="AK41" i="1"/>
  <c r="AK7" i="1"/>
  <c r="AK10" i="1"/>
  <c r="AK16" i="1"/>
  <c r="AK19" i="1"/>
  <c r="AK27" i="1"/>
  <c r="AK42" i="1"/>
  <c r="AK28" i="1"/>
  <c r="AK43" i="1"/>
  <c r="K11" i="2"/>
  <c r="D2" i="20" s="1"/>
  <c r="AK18" i="1"/>
  <c r="AK21" i="1"/>
  <c r="BJ5" i="1"/>
  <c r="AK3" i="1"/>
  <c r="AK6" i="1"/>
  <c r="AK9" i="1"/>
  <c r="AK12" i="1"/>
  <c r="BJ17" i="1"/>
  <c r="AK29" i="1"/>
  <c r="AK44" i="1"/>
  <c r="AK32" i="1"/>
  <c r="AK45" i="1"/>
</calcChain>
</file>

<file path=xl/sharedStrings.xml><?xml version="1.0" encoding="utf-8"?>
<sst xmlns="http://schemas.openxmlformats.org/spreadsheetml/2006/main" count="2640" uniqueCount="456">
  <si>
    <t>Use</t>
  </si>
  <si>
    <t>Location</t>
  </si>
  <si>
    <t>LocationName</t>
  </si>
  <si>
    <t>Supervisor</t>
  </si>
  <si>
    <t>GM</t>
  </si>
  <si>
    <t>Scheduling Manager</t>
  </si>
  <si>
    <t>Time Needed</t>
  </si>
  <si>
    <t>Date Scheduled</t>
  </si>
  <si>
    <t>Start Time</t>
  </si>
  <si>
    <t>RGR Date</t>
  </si>
  <si>
    <t>Count Day</t>
  </si>
  <si>
    <t>Sched Risk</t>
  </si>
  <si>
    <t>1st Schedule Week</t>
  </si>
  <si>
    <t>GM Engagement</t>
  </si>
  <si>
    <t>Sched Mgr Engagement</t>
  </si>
  <si>
    <t>Execution Confidence</t>
  </si>
  <si>
    <t>if only 5 of these 20 improve, is this store one of them?</t>
  </si>
  <si>
    <t>Notes</t>
  </si>
  <si>
    <t xml:space="preserve"> OKC</t>
  </si>
  <si>
    <t>Rebecca</t>
  </si>
  <si>
    <t>6-7 Hours</t>
  </si>
  <si>
    <t>Low</t>
  </si>
  <si>
    <t>Med</t>
  </si>
  <si>
    <t>No</t>
  </si>
  <si>
    <t>Derek not fully engaged. Appeared asleep a couple times</t>
  </si>
  <si>
    <t xml:space="preserve"> HARRAH, OK</t>
  </si>
  <si>
    <t>Lezli</t>
  </si>
  <si>
    <t>High</t>
  </si>
  <si>
    <t>Hunter volatile</t>
  </si>
  <si>
    <t xml:space="preserve"> ATOKA, OK</t>
  </si>
  <si>
    <t>Peggy May</t>
  </si>
  <si>
    <t>Both highly engaged</t>
  </si>
  <si>
    <t>Amanda</t>
  </si>
  <si>
    <t xml:space="preserve"> MAIN AND REFUGE</t>
  </si>
  <si>
    <t>Sabrina Turner</t>
  </si>
  <si>
    <t>Yes</t>
  </si>
  <si>
    <t>Zukkaar overpowers conversation. Sabrina soaked it in</t>
  </si>
  <si>
    <t>Ashley</t>
  </si>
  <si>
    <t xml:space="preserve"> TECUMSEH, OK</t>
  </si>
  <si>
    <t>Bella</t>
  </si>
  <si>
    <t>HIgh</t>
  </si>
  <si>
    <t>Candy highly engaged, easily frustrated. Bella not very invovled</t>
  </si>
  <si>
    <t>Steven</t>
  </si>
  <si>
    <t xml:space="preserve"> HOLDENVILLE, OK</t>
  </si>
  <si>
    <t>Kevonte</t>
  </si>
  <si>
    <t>Lynsey distractd easily. Kevonte has heart and should do well</t>
  </si>
  <si>
    <t xml:space="preserve"> CHICKASHA</t>
  </si>
  <si>
    <t>Pam</t>
  </si>
  <si>
    <t>Mukarram super involved. Pam may struggle only due to tech. She is highly capableGM yilelds to Pam for actual duties</t>
  </si>
  <si>
    <t xml:space="preserve"> LINDSAY, OK</t>
  </si>
  <si>
    <t>Brad</t>
  </si>
  <si>
    <t>Cora not the numbers person. Very supportive. Brad quiet but soaked up info</t>
  </si>
  <si>
    <t xml:space="preserve"> DURANT</t>
  </si>
  <si>
    <t>Chasity</t>
  </si>
  <si>
    <t xml:space="preserve"> SULPHUR, OK</t>
  </si>
  <si>
    <t>Sarah</t>
  </si>
  <si>
    <t>Aliyah very engaged, Sarah learning schedule new and pay close attentio. She should do well.</t>
  </si>
  <si>
    <t xml:space="preserve"> SEMINOLE, OK</t>
  </si>
  <si>
    <t>Tasha</t>
  </si>
  <si>
    <t>N/A</t>
  </si>
  <si>
    <t>Caleb(GM) absent due to Large Order. Will reshedule. Tasha very engaged, but feel like will struggle to implement</t>
  </si>
  <si>
    <t xml:space="preserve"> MARIETTA, OK</t>
  </si>
  <si>
    <t>Angie</t>
  </si>
  <si>
    <t>Rey involved but yielded mostly to Angie whom has a deep knowledge for the schedule. Could be one of the five. Borederline</t>
  </si>
  <si>
    <t>Robert</t>
  </si>
  <si>
    <t xml:space="preserve"> PURCELL</t>
  </si>
  <si>
    <t>Olivia</t>
  </si>
  <si>
    <t xml:space="preserve"> ADA</t>
  </si>
  <si>
    <t>Bobbi</t>
  </si>
  <si>
    <t xml:space="preserve"> PAULS VALLEY RELO </t>
  </si>
  <si>
    <t>Ashleigh</t>
  </si>
  <si>
    <t>2 Pre Classes leading up</t>
  </si>
  <si>
    <t xml:space="preserve"> DUNCAN, OK</t>
  </si>
  <si>
    <t>Stephanie</t>
  </si>
  <si>
    <t>Scheduling Training Overview and Pre-work for Restaurants</t>
  </si>
  <si>
    <t>2 Weeks Out</t>
  </si>
  <si>
    <t xml:space="preserve"> ELGIN, OK </t>
  </si>
  <si>
    <t>Scheduling Setup Class - Verification and Completion of Pre-work in LifeLenz</t>
  </si>
  <si>
    <t>&lt; 1 Week Out</t>
  </si>
  <si>
    <t xml:space="preserve"> MADILL, HWY. 70</t>
  </si>
  <si>
    <t>Colton Standeraur</t>
  </si>
  <si>
    <t xml:space="preserve"> ARDMORE</t>
  </si>
  <si>
    <t>Siara</t>
  </si>
  <si>
    <t xml:space="preserve"> ARDMORE, OK</t>
  </si>
  <si>
    <t>Rasheda</t>
  </si>
  <si>
    <t>Store</t>
  </si>
  <si>
    <t>Setup/Mgr Sched</t>
  </si>
  <si>
    <t>Crew Schedule</t>
  </si>
  <si>
    <t>Location Profile</t>
  </si>
  <si>
    <t>Food Cost - Inventory Routines and Mobile App Setup</t>
  </si>
  <si>
    <t>Last Revised - 03/24/26 4:33 PM</t>
  </si>
  <si>
    <t>Location Name</t>
  </si>
  <si>
    <t>Owner/Operator</t>
  </si>
  <si>
    <t>OperatorEmail</t>
  </si>
  <si>
    <t>OperatorEmail2</t>
  </si>
  <si>
    <t>Organization</t>
  </si>
  <si>
    <t>Effective Date</t>
  </si>
  <si>
    <t>SupEmail</t>
  </si>
  <si>
    <t>GMEmail</t>
  </si>
  <si>
    <t>Email Domain</t>
  </si>
  <si>
    <t>Users</t>
  </si>
  <si>
    <t>MDP Email</t>
  </si>
  <si>
    <t>MDP Password</t>
  </si>
  <si>
    <t>LocNameForDisplay</t>
  </si>
  <si>
    <t>Address</t>
  </si>
  <si>
    <t>Inventory D/W/M Setup Verified</t>
  </si>
  <si>
    <t>eProduction Settings Updated and Verified</t>
  </si>
  <si>
    <t>eProduction Verified Date</t>
  </si>
  <si>
    <t>Weekly Inventory Count Day</t>
  </si>
  <si>
    <t>FOB Risk Profile</t>
  </si>
  <si>
    <t>FOB Driver</t>
  </si>
  <si>
    <t>Controls Risk Profile</t>
  </si>
  <si>
    <t>Controls Driver</t>
  </si>
  <si>
    <t>Primary Counting Manager</t>
  </si>
  <si>
    <t>Mobile Inventory App Training Occurred</t>
  </si>
  <si>
    <t>Mobile App Training Scheduled</t>
  </si>
  <si>
    <t>Martin Brower Delivery Day 1</t>
  </si>
  <si>
    <t>Martin Brower Delivery Day 2</t>
  </si>
  <si>
    <t>Martin Brower Delivery Day 3</t>
  </si>
  <si>
    <t>Store Settings Updated for Inventory</t>
  </si>
  <si>
    <t>Schedule Workshop</t>
  </si>
  <si>
    <t>FLH Verified</t>
  </si>
  <si>
    <t>Availability Update</t>
  </si>
  <si>
    <t>Skill Levels Updated</t>
  </si>
  <si>
    <t>Counting Manager</t>
  </si>
  <si>
    <t>FOB Risk</t>
  </si>
  <si>
    <t>Validity</t>
  </si>
  <si>
    <t>Status</t>
  </si>
  <si>
    <t>Ryan Thorley</t>
  </si>
  <si>
    <t>MCDOK</t>
  </si>
  <si>
    <t>Robert Spencer</t>
  </si>
  <si>
    <t>Cinthya Armedariz</t>
  </si>
  <si>
    <t>mcdok.com</t>
  </si>
  <si>
    <t>461</t>
  </si>
  <si>
    <t>3708 - ARDMORE-BROADWAY</t>
  </si>
  <si>
    <t>1001 W Broadway, Ardmore, OK, 73401, USA</t>
  </si>
  <si>
    <t>Tuesday</t>
  </si>
  <si>
    <t>Cinthya</t>
  </si>
  <si>
    <t>Wednesday</t>
  </si>
  <si>
    <t>Sunday</t>
  </si>
  <si>
    <t>Gary Mornhinweg</t>
  </si>
  <si>
    <t>Krystiana Langford</t>
  </si>
  <si>
    <t>Mukarram Norman</t>
  </si>
  <si>
    <t>465</t>
  </si>
  <si>
    <t>5183 - CHICKASHA-SO 4TH</t>
  </si>
  <si>
    <t>2027 S 4th St, Chickasha, OK, 73018, USA</t>
  </si>
  <si>
    <t>Thursday</t>
  </si>
  <si>
    <t>Mukarram</t>
  </si>
  <si>
    <t>Friday</t>
  </si>
  <si>
    <t>Rick/Kathy Thorley</t>
  </si>
  <si>
    <t>rick@mcdok.com</t>
  </si>
  <si>
    <t>kathy@mcdok.com</t>
  </si>
  <si>
    <t>Ashley Podroza</t>
  </si>
  <si>
    <t>Stacey Hyatt</t>
  </si>
  <si>
    <t>490</t>
  </si>
  <si>
    <t>5985 - DURANT-US HWY 704/22</t>
  </si>
  <si>
    <t>2227 W Main St, Durant, OK, 74701, USA</t>
  </si>
  <si>
    <t>Scauti/Chas</t>
  </si>
  <si>
    <t>Nick Rice</t>
  </si>
  <si>
    <t>503</t>
  </si>
  <si>
    <t>6972 - ADA-COUNTRY CLUB</t>
  </si>
  <si>
    <t>818 N Country Club Rd, Ada, OK, 74820, USA</t>
  </si>
  <si>
    <t>Beth</t>
  </si>
  <si>
    <t>Ashleyh Hegwer</t>
  </si>
  <si>
    <t>471</t>
  </si>
  <si>
    <t>10422 - ATOKA, OK-MISSISSIPPI</t>
  </si>
  <si>
    <t>1100 S Mississippi Ave, Atoka, OK, 74525, USA</t>
  </si>
  <si>
    <t>Saturday</t>
  </si>
  <si>
    <t>Steven Vaughn</t>
  </si>
  <si>
    <t>Caleb Nunnelley</t>
  </si>
  <si>
    <t>458</t>
  </si>
  <si>
    <t>10915 - SEMINOLE, OK-MILT PHILLIPS</t>
  </si>
  <si>
    <t>1423 Milt Phillips, Seminole, OK, 74868, USA</t>
  </si>
  <si>
    <t>Caitlin</t>
  </si>
  <si>
    <t>Monday</t>
  </si>
  <si>
    <t>Amanda Estrada</t>
  </si>
  <si>
    <t>Jessie Hiatt</t>
  </si>
  <si>
    <t>440</t>
  </si>
  <si>
    <t>11657 - PURCELL</t>
  </si>
  <si>
    <t>2211 S 9th Ave, Purcell, OK, 73080, USA</t>
  </si>
  <si>
    <t>Norma</t>
  </si>
  <si>
    <t>4-6 Hours</t>
  </si>
  <si>
    <t>Earliest available date</t>
  </si>
  <si>
    <t>Unchanged</t>
  </si>
  <si>
    <t>Chris Abbey</t>
  </si>
  <si>
    <t>454</t>
  </si>
  <si>
    <t>13113 - MADILL, HWY. 70</t>
  </si>
  <si>
    <t>511 S 1st St, Madill, OK, 73446, USA</t>
  </si>
  <si>
    <t>Josh</t>
  </si>
  <si>
    <t>Cora Bahling</t>
  </si>
  <si>
    <t>435</t>
  </si>
  <si>
    <t>18213 - LINDSAY, OK-WAL*MART</t>
  </si>
  <si>
    <t>407 Linwood Plz, Lindsay, OK, 73052, USA</t>
  </si>
  <si>
    <t>Crystal</t>
  </si>
  <si>
    <t>Derek McGirt</t>
  </si>
  <si>
    <t>451</t>
  </si>
  <si>
    <t>20475 - OKC-I-240/SOONER</t>
  </si>
  <si>
    <t>7800 S Sooner Rd, Oklahoma City, OK, 73135, USA</t>
  </si>
  <si>
    <t>Susanna</t>
  </si>
  <si>
    <t>Mystykal Abbey</t>
  </si>
  <si>
    <t>459</t>
  </si>
  <si>
    <t>24471 - ARDMORE, OK-NEC COOPER/12TH</t>
  </si>
  <si>
    <t>1202 Cooper Dr, Ardmore, OK, 73401, USA</t>
  </si>
  <si>
    <t>Mystikal</t>
  </si>
  <si>
    <t>Heather Danforth</t>
  </si>
  <si>
    <t>483</t>
  </si>
  <si>
    <t>29760 - DUNCAN, OK-HWY 81 (RELO)</t>
  </si>
  <si>
    <t>1817 N Highway 81, Duncan, OK, 73533, USA</t>
  </si>
  <si>
    <t>Magi</t>
  </si>
  <si>
    <t>Changed Fdrom 04/02/26</t>
  </si>
  <si>
    <t>Brady Giambaresi</t>
  </si>
  <si>
    <t>443</t>
  </si>
  <si>
    <t>31357 - PAULS VALLEY RELO - BALLARD RD NO.</t>
  </si>
  <si>
    <t>2635 W Grant Ave, Pauls Valley, OK, 73075, USA</t>
  </si>
  <si>
    <t>Angelo</t>
  </si>
  <si>
    <t>Aliyah Richardson</t>
  </si>
  <si>
    <t>32525 - SULPHUR, OK</t>
  </si>
  <si>
    <t>2539 W Broadway Ave, Sulphur, OK, 73086, USA</t>
  </si>
  <si>
    <t>Priscilla</t>
  </si>
  <si>
    <t>Changed from 06/04/26</t>
  </si>
  <si>
    <t>Rey Araiz</t>
  </si>
  <si>
    <t>427</t>
  </si>
  <si>
    <t>33109 - MARIETTA, OK</t>
  </si>
  <si>
    <t>1303 Memorial Dr, Marietta, OK, 73448, USA</t>
  </si>
  <si>
    <t>Gisselle</t>
  </si>
  <si>
    <t>Carol Escusa</t>
  </si>
  <si>
    <t>33222 - ELGIN, OK - STO</t>
  </si>
  <si>
    <t>7738 US Highway 277, Elgin, OK, 73538, USA</t>
  </si>
  <si>
    <t>Darryl</t>
  </si>
  <si>
    <t>Candy Barksdale</t>
  </si>
  <si>
    <t>448</t>
  </si>
  <si>
    <t>33704 - TECUMSEH, OK</t>
  </si>
  <si>
    <t>1210 Gordon Cooper Dr, Tecumseh, OK, 74873, USA</t>
  </si>
  <si>
    <t>Marlena</t>
  </si>
  <si>
    <t>Hunter McKee</t>
  </si>
  <si>
    <t>449</t>
  </si>
  <si>
    <t>34222 - HARRAH, OK</t>
  </si>
  <si>
    <t>3115 S Harrah Rd, Harrah, OK, 73045, USA</t>
  </si>
  <si>
    <t>Kaylee</t>
  </si>
  <si>
    <t>Changed from 04/23/26</t>
  </si>
  <si>
    <t>Lynsey Yahola</t>
  </si>
  <si>
    <t>452</t>
  </si>
  <si>
    <t>35064 - HOLDENVILLE, OK</t>
  </si>
  <si>
    <t>424 E Highway St, Holdenville, OK, 74848, USA</t>
  </si>
  <si>
    <t>Lynsey</t>
  </si>
  <si>
    <t>Changed from 05/21/26</t>
  </si>
  <si>
    <t>Zukarr Eaves</t>
  </si>
  <si>
    <t>249</t>
  </si>
  <si>
    <t>43380 - MAIN AND REFUGE-TISHOMINGO, OK</t>
  </si>
  <si>
    <t>1309 E Main St, Tishomingo, OK, 73460, USA</t>
  </si>
  <si>
    <t>Zukaar</t>
  </si>
  <si>
    <t>Changed from 05/07/26</t>
  </si>
  <si>
    <t>Jacob Thorley</t>
  </si>
  <si>
    <t>Emerald Arches</t>
  </si>
  <si>
    <t>Mary Ratliff</t>
  </si>
  <si>
    <t>Janet Jeter</t>
  </si>
  <si>
    <t>emeraldarches.com</t>
  </si>
  <si>
    <t>6178 - CHIPLEY-ST.RD.77</t>
  </si>
  <si>
    <t>1291 Main St, Chipley, FL, 32428, USA</t>
  </si>
  <si>
    <t>Stephanie Harris</t>
  </si>
  <si>
    <t>6838 - DEFUNIAK SPRINGS</t>
  </si>
  <si>
    <t>2370 US Highway 331 S, Defuniak Springs, FL, 32435, USA</t>
  </si>
  <si>
    <t>Harlee Yates</t>
  </si>
  <si>
    <t>10034 - BONIFAY</t>
  </si>
  <si>
    <t>2010 S Waukesha St, Bonifay, FL, 32425, USA</t>
  </si>
  <si>
    <t>Brad Denley</t>
  </si>
  <si>
    <t>Michele Nixon</t>
  </si>
  <si>
    <t>35242 - COTTONDALE</t>
  </si>
  <si>
    <t>2510 Highway 231, Cottondale, FL, 32431, USA</t>
  </si>
  <si>
    <t>Debra Herndon</t>
  </si>
  <si>
    <t>37566 - MOSSY HEAD</t>
  </si>
  <si>
    <t>17750 State Highway 285 Dr S, Defuniak Springs, FL, 32435, USA</t>
  </si>
  <si>
    <t>Christina Bencokzy</t>
  </si>
  <si>
    <t>38609 - FREEPORT</t>
  </si>
  <si>
    <t>16392 US Highway 331 S, Freeport, FL, 32439, USA</t>
  </si>
  <si>
    <t>Shannon Hardin</t>
  </si>
  <si>
    <t>43701 - HWY 81 AND I-10-PONCE DE LEON, FL</t>
  </si>
  <si>
    <t>2920 FL-81, Ponce de Leon, FL, 32455, USA</t>
  </si>
  <si>
    <t>Above Store</t>
  </si>
  <si>
    <t>Molly Mcgill</t>
  </si>
  <si>
    <t>Hugh Bonner</t>
  </si>
  <si>
    <t>Fletcher Reaves</t>
  </si>
  <si>
    <t>angelo@mcdok.com</t>
  </si>
  <si>
    <t>Janet</t>
  </si>
  <si>
    <t>Jeter</t>
  </si>
  <si>
    <t>Primary</t>
  </si>
  <si>
    <t>GENERAL MANAGER</t>
  </si>
  <si>
    <t>Denley</t>
  </si>
  <si>
    <t>Jennifer</t>
  </si>
  <si>
    <t>Mary</t>
  </si>
  <si>
    <t>Ratliff</t>
  </si>
  <si>
    <t>Harris</t>
  </si>
  <si>
    <t>Harlee</t>
  </si>
  <si>
    <t>Yates</t>
  </si>
  <si>
    <t>Michele</t>
  </si>
  <si>
    <t>Nixon</t>
  </si>
  <si>
    <t>Debra</t>
  </si>
  <si>
    <t>Herndon</t>
  </si>
  <si>
    <t>Christina</t>
  </si>
  <si>
    <t>Benkoczy</t>
  </si>
  <si>
    <t>Russell</t>
  </si>
  <si>
    <t>Shannon</t>
  </si>
  <si>
    <t>Hardin</t>
  </si>
  <si>
    <t>Nia</t>
  </si>
  <si>
    <t>Battles</t>
  </si>
  <si>
    <t>Completed</t>
  </si>
  <si>
    <t>Changed from 05/20/26</t>
  </si>
  <si>
    <t>Changed from 05/07/26, Changed from 06/04/26</t>
  </si>
  <si>
    <t>IMET Training (MB)</t>
  </si>
  <si>
    <t>IMET Training (Internal)</t>
  </si>
  <si>
    <t>Date Trained</t>
  </si>
  <si>
    <t>Ashley Hegwer</t>
  </si>
  <si>
    <t>Data N/A</t>
  </si>
  <si>
    <t>Date</t>
  </si>
  <si>
    <t>Dec EOM</t>
  </si>
  <si>
    <t>01/31/26%</t>
  </si>
  <si>
    <t>2/28/26</t>
  </si>
  <si>
    <t>3/31/26</t>
  </si>
  <si>
    <t>4/7/26</t>
  </si>
  <si>
    <t>4/14/26</t>
  </si>
  <si>
    <t>4/21/26</t>
  </si>
  <si>
    <t>4/28/26</t>
  </si>
  <si>
    <t>4/30/26</t>
  </si>
  <si>
    <t>Cycle</t>
  </si>
  <si>
    <t>EOM</t>
  </si>
  <si>
    <t>Product Net Sales</t>
  </si>
  <si>
    <t>Total Paper Cost (%)</t>
  </si>
  <si>
    <t>Total Paper Cost ($)</t>
  </si>
  <si>
    <t>Completed Waste</t>
  </si>
  <si>
    <t>Raw Waste</t>
  </si>
  <si>
    <t>Condiments</t>
  </si>
  <si>
    <t>Emp Mgr Meals</t>
  </si>
  <si>
    <t>Variance Stat</t>
  </si>
  <si>
    <t>Unexplained</t>
  </si>
  <si>
    <t>Food Over Base</t>
  </si>
  <si>
    <t>Base Food</t>
  </si>
  <si>
    <t>Discounts/Coupons</t>
  </si>
  <si>
    <t>Total Food Cost</t>
  </si>
  <si>
    <t>Food</t>
  </si>
  <si>
    <t>Beginning Inventory (+)</t>
  </si>
  <si>
    <t>Purchases</t>
  </si>
  <si>
    <t>Adjustments (+/-)</t>
  </si>
  <si>
    <t>Transfers</t>
  </si>
  <si>
    <t>Promotions (-)</t>
  </si>
  <si>
    <t>Ending Inventory (-)</t>
  </si>
  <si>
    <t>Total</t>
  </si>
  <si>
    <t>Paper</t>
  </si>
  <si>
    <t>View Activity</t>
  </si>
  <si>
    <t>12/01/25 - 03/22/26</t>
  </si>
  <si>
    <t>FOB Risk Profile Summary</t>
  </si>
  <si>
    <t>Food, Paper, and Beverage (FOB) risk evaluates inventory control, statistical variance (missing product), and waste management.</t>
  </si>
  <si>
    <t>Risk Level</t>
  </si>
  <si>
    <t>Locations</t>
  </si>
  <si>
    <t>Primary Risk Drivers</t>
  </si>
  <si>
    <t>35064, 13113, 24471, 32525, 6972</t>
  </si>
  <si>
    <t>High Statistical Variance ($&gt;2.0\%$) and high overall FOB % ($&gt;5.5\%$). Location 35064 is the highest risk with excessive waste ($1.40\%$).</t>
  </si>
  <si>
    <t>Medium</t>
  </si>
  <si>
    <t>10422, 10915, 11657, 18213, 31357, 33222, 33704, 3708, 43380, 5183</t>
  </si>
  <si>
    <t>Moderate waste or minor inventory variance.</t>
  </si>
  <si>
    <t>20475, 29760, 33109, 34222, 5985</t>
  </si>
  <si>
    <t>Excellent inventory control and low waste levels.</t>
  </si>
  <si>
    <t>Controls Risk Profile Summary</t>
  </si>
  <si>
    <t>Controls risk evaluates transaction security, including T-Red (refunds/voids), cash handling (Over/Short), and discounting practices.</t>
  </si>
  <si>
    <t>High T-Red activity ($0.29\%$), significant POS Overrings ($0.58\%$), and higher-than-average Cash Over/Short.</t>
  </si>
  <si>
    <t>Most Locations (16)</t>
  </si>
  <si>
    <t>Generally driven by high discounting (e.g., 20475 at $7.40\%$) or sporadic cash handling issues.</t>
  </si>
  <si>
    <t>32525, 33222, 5985</t>
  </si>
  <si>
    <t>Very tight transaction controls and minimal cash variance.</t>
  </si>
  <si>
    <t>Detailed Risk Analysis by Location</t>
  </si>
  <si>
    <t>Loc</t>
  </si>
  <si>
    <t>FOB Key Driver(s)</t>
  </si>
  <si>
    <t>Controls Key Driver(s)</t>
  </si>
  <si>
    <t>High FOB% (6.12%), Stat Var (2.73%), Waste (1.40%)</t>
  </si>
  <si>
    <t>T-Red After (0.42%), Cash O/S (0.05%)</t>
  </si>
  <si>
    <t>High FOB% (5.58%), High Stat Var (2.40%)</t>
  </si>
  <si>
    <t>POS Overrings (0.47%)</t>
  </si>
  <si>
    <t>High FOB% (5.55%), High Stat Var (2.04%)</t>
  </si>
  <si>
    <t>Within Normal range</t>
  </si>
  <si>
    <t>High FOB% (5.27%), High Waste (1.51%)</t>
  </si>
  <si>
    <t>Within Normal Range</t>
  </si>
  <si>
    <t>POS Overrings (0.38%)/Excessively High T-Reds</t>
  </si>
  <si>
    <t>T-Red After (0.29%), Cash O/S (0.04%), Overrings (0.58%)</t>
  </si>
  <si>
    <t>High Stat Var (2.16%)/Coordinated Register Theft</t>
  </si>
  <si>
    <t>High Waste (1.06%)</t>
  </si>
  <si>
    <t>T-Red After (0.45%), Discounts (6.55%)</t>
  </si>
  <si>
    <t>High Waste (1.29%)</t>
  </si>
  <si>
    <t>High Waste (1.16%)</t>
  </si>
  <si>
    <t>Bulk Theft/Untracked Waste</t>
  </si>
  <si>
    <t>High Discounts (7.10%)</t>
  </si>
  <si>
    <t>T-Red After (0.38%), Cash O/S (0.05%), Overrings (0.38%)</t>
  </si>
  <si>
    <t>Stat Var (1.80%)</t>
  </si>
  <si>
    <t>Cash O/S (0.04%), Discounts (6.57%)</t>
  </si>
  <si>
    <t>T-Red After (0.38%), Discounts (7.40%)</t>
  </si>
  <si>
    <t>High Discounts (6.58%)</t>
  </si>
  <si>
    <t>Key Recommendations:</t>
  </si>
  <si>
    <t>FOB Audit (High Risk): Locations 35064 and 13113 should undergo immediate physical inventory audits to address Statistical Variances exceeding $2.3\%$.</t>
  </si>
  <si>
    <t>Transactional Review (Control Risk): Location 3708 requires a review of T-Red (refund/void) logs, as the high volume of after-total reductions and POS overrings may indicate "phantom" transactions or training gaps.</t>
  </si>
  <si>
    <t>Discount Monitoring: Locations 20475 and 33704 should review their discounting policies, as their discount percentages are significantly higher ($&gt;7.0\%$) than the network average.</t>
  </si>
  <si>
    <t>Risk Criteria Breakdown</t>
  </si>
  <si>
    <t>High Risk (FOB): Assigned to locations with Statistical Variance (product loss) $&gt;2.0\%$ or combined FOB costs $&gt;5.5\%$ of sales.</t>
  </si>
  <si>
    <t>High Risk (Controls): Assigned to locations with significantly elevated transaction corrections (T-Red after total) or large cash handling discrepancies.</t>
  </si>
  <si>
    <t>Low Risk: Assigned to locations that performed in the best 25th percentile across all indicators.</t>
  </si>
  <si>
    <t>Within Normal Range: Indicates the location's metrics fall within the average/expected bounds compared to the rest of the group.</t>
  </si>
  <si>
    <t>STORE #</t>
  </si>
  <si>
    <t>STORE NAME</t>
  </si>
  <si>
    <t>DATE RGR</t>
  </si>
  <si>
    <t>Confirmed (X)</t>
  </si>
  <si>
    <t>By Whom</t>
  </si>
  <si>
    <t>Score</t>
  </si>
  <si>
    <t>Atoka</t>
  </si>
  <si>
    <t>GG</t>
  </si>
  <si>
    <t>Ada</t>
  </si>
  <si>
    <t>Seminole</t>
  </si>
  <si>
    <t>Durant</t>
  </si>
  <si>
    <t>Sia</t>
  </si>
  <si>
    <t>Sooner</t>
  </si>
  <si>
    <t>Tecumseh</t>
  </si>
  <si>
    <t>Lisa</t>
  </si>
  <si>
    <t>Purcell</t>
  </si>
  <si>
    <t>Harrah</t>
  </si>
  <si>
    <t>Elgin</t>
  </si>
  <si>
    <t>Madill</t>
  </si>
  <si>
    <t>Pauls Valley</t>
  </si>
  <si>
    <t>Holdenville</t>
  </si>
  <si>
    <t>Tishomingo</t>
  </si>
  <si>
    <t>Armore - Broadway</t>
  </si>
  <si>
    <t>Chickasha</t>
  </si>
  <si>
    <t>Marietta</t>
  </si>
  <si>
    <t>Ardmore  Cooper</t>
  </si>
  <si>
    <t>Duncan</t>
  </si>
  <si>
    <t>Sulphur</t>
  </si>
  <si>
    <t>Lindsay</t>
  </si>
  <si>
    <t>? DO ? GG</t>
  </si>
  <si>
    <t>DO/GG</t>
  </si>
  <si>
    <t>eRestaurant Settings Updated and Verified</t>
  </si>
  <si>
    <t xml:space="preserve">Mobile App and 1st Count Training Date </t>
  </si>
  <si>
    <t>6178</t>
  </si>
  <si>
    <t>6838</t>
  </si>
  <si>
    <t>468</t>
  </si>
  <si>
    <t>10034</t>
  </si>
  <si>
    <t>23021</t>
  </si>
  <si>
    <t>390</t>
  </si>
  <si>
    <t>2700 NE 10th St, Oklahoma City, OK, 73117, USA</t>
  </si>
  <si>
    <t>28819</t>
  </si>
  <si>
    <t>391</t>
  </si>
  <si>
    <t>196 Shawnee Mall Dr, Shawnee, OK, 74804, USA</t>
  </si>
  <si>
    <t>35242</t>
  </si>
  <si>
    <t>2510 US-231, Cottondale, FL, 32431, USA</t>
  </si>
  <si>
    <t>37566</t>
  </si>
  <si>
    <t>457</t>
  </si>
  <si>
    <t>38609</t>
  </si>
  <si>
    <t>43701</t>
  </si>
  <si>
    <t>24</t>
  </si>
  <si>
    <t>Jessie amazing, involved and knowledgeable. Olivia is geat as well</t>
  </si>
  <si>
    <t>Both struggled to understand process due to wrong/no training previously</t>
  </si>
  <si>
    <t>Good engagement from both. Brady left early. Ashleigh extremely 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</si>
</sst>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d\,\ mm/dd/yyyy"/>
    <numFmt numFmtId="165" formatCode="[$-409]h:mm\ AM/PM;@"/>
    <numFmt numFmtId="166" formatCode="[$-F800]dddd\,\ mmmm\ dd\,\ yyyy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3"/>
      <color theme="1"/>
      <name val=".AppleSystemUIFont"/>
    </font>
    <font>
      <sz val="12"/>
      <color theme="1"/>
      <name val="Helvetic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9C5700"/>
      <name val="Calibri"/>
      <family val="2"/>
    </font>
    <font>
      <sz val="11"/>
      <color rgb="FF000000"/>
      <name val="Calibri"/>
      <family val="2"/>
      <scheme val="minor"/>
    </font>
    <font>
      <b/>
      <sz val="8"/>
      <color rgb="FF231F20"/>
      <name val="Arial"/>
      <family val="2"/>
    </font>
    <font>
      <sz val="8"/>
      <color rgb="FF231F20"/>
      <name val="Arial"/>
      <family val="2"/>
    </font>
    <font>
      <sz val="8"/>
      <color theme="1"/>
      <name val="Calibri"/>
      <family val="2"/>
      <scheme val="minor"/>
    </font>
    <font>
      <sz val="9.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6.5"/>
      <name val="Arial"/>
      <family val="2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/>
    <xf numFmtId="0" fontId="4" fillId="3" borderId="0"/>
    <xf numFmtId="0" fontId="25" fillId="0" borderId="0"/>
  </cellStyleXfs>
  <cellXfs count="14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5" borderId="4" xfId="0" applyFill="1" applyBorder="1"/>
    <xf numFmtId="0" fontId="0" fillId="0" borderId="4" xfId="0" applyBorder="1"/>
    <xf numFmtId="0" fontId="0" fillId="5" borderId="5" xfId="0" applyFill="1" applyBorder="1"/>
    <xf numFmtId="0" fontId="0" fillId="0" borderId="5" xfId="0" applyBorder="1"/>
    <xf numFmtId="0" fontId="0" fillId="5" borderId="3" xfId="0" applyFill="1" applyBorder="1"/>
    <xf numFmtId="20" fontId="0" fillId="0" borderId="1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1" fontId="0" fillId="5" borderId="3" xfId="0" applyNumberFormat="1" applyFill="1" applyBorder="1"/>
    <xf numFmtId="14" fontId="0" fillId="5" borderId="4" xfId="0" applyNumberFormat="1" applyFill="1" applyBorder="1"/>
    <xf numFmtId="1" fontId="0" fillId="0" borderId="3" xfId="0" applyNumberFormat="1" applyBorder="1"/>
    <xf numFmtId="14" fontId="0" fillId="0" borderId="4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7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/>
    </xf>
    <xf numFmtId="10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0" fillId="0" borderId="0" xfId="0" applyFont="1"/>
    <xf numFmtId="0" fontId="9" fillId="0" borderId="0" xfId="0" applyFont="1" applyAlignment="1">
      <alignment wrapText="1"/>
    </xf>
    <xf numFmtId="0" fontId="11" fillId="0" borderId="1" xfId="0" applyFont="1" applyBorder="1"/>
    <xf numFmtId="0" fontId="0" fillId="0" borderId="1" xfId="0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3" fillId="0" borderId="0" xfId="0" applyFont="1"/>
    <xf numFmtId="0" fontId="14" fillId="0" borderId="0" xfId="0" applyFont="1"/>
    <xf numFmtId="0" fontId="10" fillId="0" borderId="1" xfId="0" applyFont="1" applyBorder="1" applyAlignment="1">
      <alignment horizontal="left" wrapText="1"/>
    </xf>
    <xf numFmtId="0" fontId="15" fillId="0" borderId="1" xfId="0" applyFont="1" applyBorder="1"/>
    <xf numFmtId="14" fontId="5" fillId="4" borderId="0" xfId="0" applyNumberFormat="1" applyFont="1" applyFill="1"/>
    <xf numFmtId="20" fontId="0" fillId="0" borderId="0" xfId="0" applyNumberFormat="1" applyAlignment="1">
      <alignment horizontal="center"/>
    </xf>
    <xf numFmtId="0" fontId="5" fillId="0" borderId="0" xfId="0" applyFont="1"/>
    <xf numFmtId="14" fontId="5" fillId="0" borderId="0" xfId="0" applyNumberFormat="1" applyFont="1"/>
    <xf numFmtId="14" fontId="4" fillId="3" borderId="1" xfId="2" applyNumberFormat="1" applyBorder="1" applyAlignment="1">
      <alignment horizontal="center"/>
    </xf>
    <xf numFmtId="0" fontId="4" fillId="3" borderId="1" xfId="2" applyBorder="1" applyAlignment="1">
      <alignment horizontal="center"/>
    </xf>
    <xf numFmtId="14" fontId="4" fillId="3" borderId="2" xfId="2" applyNumberFormat="1" applyBorder="1" applyAlignment="1">
      <alignment horizontal="center"/>
    </xf>
    <xf numFmtId="0" fontId="4" fillId="3" borderId="2" xfId="2" applyBorder="1" applyAlignment="1">
      <alignment horizontal="center"/>
    </xf>
    <xf numFmtId="0" fontId="16" fillId="0" borderId="1" xfId="0" applyFont="1" applyBorder="1"/>
    <xf numFmtId="0" fontId="5" fillId="4" borderId="1" xfId="0" applyFont="1" applyFill="1" applyBorder="1"/>
    <xf numFmtId="14" fontId="5" fillId="4" borderId="1" xfId="0" applyNumberFormat="1" applyFont="1" applyFill="1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9" xfId="1" applyFill="1" applyBorder="1" applyAlignment="1">
      <alignment horizontal="center"/>
    </xf>
    <xf numFmtId="0" fontId="3" fillId="0" borderId="10" xfId="1" applyFill="1" applyBorder="1" applyAlignment="1">
      <alignment horizontal="center"/>
    </xf>
    <xf numFmtId="0" fontId="3" fillId="0" borderId="0" xfId="1" applyFill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6" xfId="0" applyFont="1" applyFill="1" applyBorder="1" applyAlignment="1">
      <alignment horizontal="left"/>
    </xf>
    <xf numFmtId="0" fontId="6" fillId="0" borderId="0" xfId="0" applyFont="1"/>
    <xf numFmtId="18" fontId="6" fillId="0" borderId="0" xfId="0" applyNumberFormat="1" applyFont="1"/>
    <xf numFmtId="14" fontId="17" fillId="0" borderId="0" xfId="0" applyNumberFormat="1" applyFont="1"/>
    <xf numFmtId="0" fontId="17" fillId="0" borderId="0" xfId="0" applyFont="1"/>
    <xf numFmtId="0" fontId="3" fillId="0" borderId="11" xfId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4" fontId="12" fillId="0" borderId="0" xfId="0" applyNumberFormat="1" applyFont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2" fontId="0" fillId="5" borderId="12" xfId="0" applyNumberFormat="1" applyFill="1" applyBorder="1"/>
    <xf numFmtId="2" fontId="0" fillId="5" borderId="8" xfId="0" applyNumberFormat="1" applyFill="1" applyBorder="1"/>
    <xf numFmtId="2" fontId="0" fillId="5" borderId="13" xfId="0" applyNumberFormat="1" applyFill="1" applyBorder="1"/>
    <xf numFmtId="2" fontId="0" fillId="0" borderId="12" xfId="0" applyNumberFormat="1" applyBorder="1"/>
    <xf numFmtId="2" fontId="0" fillId="0" borderId="14" xfId="0" applyNumberFormat="1" applyBorder="1"/>
    <xf numFmtId="2" fontId="0" fillId="5" borderId="14" xfId="0" applyNumberFormat="1" applyFill="1" applyBorder="1"/>
    <xf numFmtId="2" fontId="0" fillId="0" borderId="4" xfId="0" applyNumberFormat="1" applyBorder="1"/>
    <xf numFmtId="2" fontId="0" fillId="0" borderId="5" xfId="0" applyNumberFormat="1" applyBorder="1"/>
    <xf numFmtId="0" fontId="0" fillId="5" borderId="12" xfId="0" applyFill="1" applyBorder="1"/>
    <xf numFmtId="0" fontId="0" fillId="0" borderId="12" xfId="0" applyBorder="1"/>
    <xf numFmtId="14" fontId="5" fillId="4" borderId="12" xfId="0" applyNumberFormat="1" applyFont="1" applyFill="1" applyBorder="1"/>
    <xf numFmtId="14" fontId="5" fillId="4" borderId="2" xfId="0" applyNumberFormat="1" applyFont="1" applyFill="1" applyBorder="1" applyAlignment="1">
      <alignment horizontal="center"/>
    </xf>
    <xf numFmtId="2" fontId="18" fillId="6" borderId="15" xfId="0" applyNumberFormat="1" applyFont="1" applyFill="1" applyBorder="1"/>
    <xf numFmtId="2" fontId="0" fillId="5" borderId="0" xfId="0" applyNumberFormat="1" applyFill="1"/>
    <xf numFmtId="2" fontId="18" fillId="0" borderId="15" xfId="0" applyNumberFormat="1" applyFont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8" fontId="24" fillId="0" borderId="0" xfId="0" applyNumberFormat="1" applyFont="1"/>
    <xf numFmtId="10" fontId="24" fillId="0" borderId="0" xfId="0" applyNumberFormat="1" applyFont="1"/>
    <xf numFmtId="4" fontId="24" fillId="0" borderId="0" xfId="0" applyNumberFormat="1" applyFont="1"/>
    <xf numFmtId="164" fontId="0" fillId="7" borderId="2" xfId="0" applyNumberFormat="1" applyFill="1" applyBorder="1" applyAlignment="1">
      <alignment horizontal="center"/>
    </xf>
    <xf numFmtId="16" fontId="0" fillId="0" borderId="0" xfId="0" applyNumberFormat="1"/>
    <xf numFmtId="14" fontId="0" fillId="0" borderId="0" xfId="0" applyNumberFormat="1" applyAlignment="1">
      <alignment horizontal="left"/>
    </xf>
    <xf numFmtId="14" fontId="5" fillId="4" borderId="6" xfId="0" applyNumberFormat="1" applyFont="1" applyFill="1" applyBorder="1" applyAlignment="1">
      <alignment horizontal="left" wrapText="1"/>
    </xf>
    <xf numFmtId="1" fontId="25" fillId="0" borderId="0" xfId="3" applyNumberFormat="1"/>
    <xf numFmtId="0" fontId="25" fillId="0" borderId="0" xfId="3"/>
    <xf numFmtId="164" fontId="27" fillId="0" borderId="2" xfId="0" applyNumberFormat="1" applyFont="1" applyBorder="1" applyAlignment="1">
      <alignment horizontal="center"/>
    </xf>
    <xf numFmtId="0" fontId="5" fillId="9" borderId="0" xfId="0" applyFont="1" applyFill="1" applyAlignment="1">
      <alignment wrapText="1"/>
    </xf>
    <xf numFmtId="0" fontId="28" fillId="5" borderId="4" xfId="0" applyFont="1" applyFill="1" applyBorder="1"/>
    <xf numFmtId="0" fontId="28" fillId="0" borderId="4" xfId="0" applyFont="1" applyBorder="1"/>
    <xf numFmtId="0" fontId="29" fillId="5" borderId="4" xfId="0" applyFont="1" applyFill="1" applyBorder="1"/>
    <xf numFmtId="164" fontId="27" fillId="0" borderId="1" xfId="0" applyNumberFormat="1" applyFont="1" applyBorder="1" applyAlignment="1">
      <alignment horizontal="center"/>
    </xf>
    <xf numFmtId="166" fontId="0" fillId="0" borderId="1" xfId="0" applyNumberFormat="1" applyBorder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4" fontId="5" fillId="4" borderId="0" xfId="0" applyNumberFormat="1" applyFont="1" applyFill="1" applyAlignment="1">
      <alignment horizontal="left" wrapText="1"/>
    </xf>
    <xf numFmtId="0" fontId="30" fillId="0" borderId="0" xfId="3" applyFont="1"/>
    <xf numFmtId="1" fontId="0" fillId="7" borderId="0" xfId="0" applyNumberFormat="1" applyFill="1"/>
    <xf numFmtId="0" fontId="30" fillId="7" borderId="0" xfId="3" applyFont="1" applyFill="1"/>
    <xf numFmtId="0" fontId="0" fillId="0" borderId="0" xfId="0" quotePrefix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5" borderId="3" xfId="0" applyNumberFormat="1" applyFill="1" applyBorder="1"/>
    <xf numFmtId="49" fontId="0" fillId="0" borderId="3" xfId="0" applyNumberFormat="1" applyBorder="1"/>
    <xf numFmtId="0" fontId="5" fillId="4" borderId="18" xfId="0" applyFont="1" applyFill="1" applyBorder="1"/>
    <xf numFmtId="0" fontId="2" fillId="0" borderId="9" xfId="1" applyFont="1" applyFill="1" applyBorder="1" applyAlignment="1">
      <alignment horizontal="center"/>
    </xf>
    <xf numFmtId="0" fontId="2" fillId="0" borderId="11" xfId="1" applyFont="1" applyFill="1" applyBorder="1" applyAlignment="1">
      <alignment horizontal="center"/>
    </xf>
    <xf numFmtId="14" fontId="5" fillId="4" borderId="19" xfId="0" applyNumberFormat="1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164" fontId="0" fillId="0" borderId="0" xfId="0" applyNumberFormat="1" applyAlignment="1">
      <alignment horizontal="center"/>
    </xf>
    <xf numFmtId="164" fontId="27" fillId="0" borderId="0" xfId="0" applyNumberFormat="1" applyFont="1" applyAlignment="1">
      <alignment horizontal="center"/>
    </xf>
    <xf numFmtId="0" fontId="26" fillId="0" borderId="0" xfId="0" applyFont="1" applyAlignment="1">
      <alignment horizontal="left" vertical="center" wrapText="1"/>
    </xf>
    <xf numFmtId="0" fontId="26" fillId="8" borderId="0" xfId="0" applyFont="1" applyFill="1" applyAlignment="1">
      <alignment horizontal="left" vertical="center" wrapText="1"/>
    </xf>
    <xf numFmtId="0" fontId="5" fillId="4" borderId="6" xfId="0" applyFont="1" applyFill="1" applyBorder="1"/>
    <xf numFmtId="20" fontId="0" fillId="0" borderId="16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64" fontId="30" fillId="0" borderId="0" xfId="0" applyNumberFormat="1" applyFont="1" applyAlignment="1">
      <alignment horizontal="center"/>
    </xf>
    <xf numFmtId="0" fontId="30" fillId="0" borderId="0" xfId="0" applyFont="1"/>
    <xf numFmtId="0" fontId="16" fillId="0" borderId="1" xfId="0" applyFont="1" applyBorder="1"/>
    <xf numFmtId="0" fontId="0" fillId="0" borderId="20" xfId="0" applyBorder="1"/>
    <xf numFmtId="0" fontId="0" fillId="0" borderId="21" xfId="0" applyBorder="1"/>
    <xf numFmtId="10" fontId="0" fillId="0" borderId="0" xfId="0" applyNumberFormat="1" applyAlignment="1">
      <alignment horizontal="left"/>
    </xf>
    <xf numFmtId="10" fontId="0" fillId="0" borderId="0" xfId="0" applyNumberFormat="1"/>
    <xf numFmtId="3" fontId="0" fillId="0" borderId="0" xfId="0" applyNumberFormat="1"/>
    <xf numFmtId="0" fontId="1" fillId="0" borderId="10" xfId="1" applyFont="1" applyFill="1" applyBorder="1" applyAlignment="1">
      <alignment horizontal="center"/>
    </xf>
    <xf numFmtId="0" fontId="1" fillId="0" borderId="9" xfId="1" applyFont="1" applyFill="1" applyBorder="1" applyAlignment="1">
      <alignment horizontal="center"/>
    </xf>
    <xf numFmtId="0" fontId="1" fillId="0" borderId="11" xfId="1" applyFont="1" applyFill="1" applyBorder="1" applyAlignment="1">
      <alignment horizontal="center"/>
    </xf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172">
    <dxf>
      <font>
        <b/>
        <color rgb="FFC00000"/>
      </font>
    </dxf>
    <dxf>
      <font>
        <b/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00000"/>
      </font>
    </dxf>
    <dxf>
      <font>
        <b/>
        <color theme="9"/>
      </font>
    </dxf>
    <dxf>
      <font>
        <b/>
        <color rgb="FFC00000"/>
      </font>
    </dxf>
    <dxf>
      <font>
        <b/>
        <color theme="9"/>
      </font>
    </dxf>
    <dxf>
      <font>
        <b/>
        <color rgb="FFC00000"/>
      </font>
    </dxf>
    <dxf>
      <font>
        <b/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92D050"/>
        </patternFill>
      </fill>
    </dxf>
    <dxf>
      <font>
        <b/>
        <color rgb="FFC00000"/>
      </font>
    </dxf>
    <dxf>
      <font>
        <b/>
        <color theme="9"/>
      </font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numFmt numFmtId="14" formatCode="0.00%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numFmt numFmtId="19" formatCode="m/d/yy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3"/>
        <color theme="1"/>
        <name val=".AppleSystemUIFont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top style="thin">
          <color rgb="FF8EA9DB"/>
        </top>
        <bottom style="thin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19" formatCode="m/d/yy"/>
      <fill>
        <patternFill patternType="solid">
          <fgColor theme="4"/>
          <bgColor theme="4"/>
        </patternFill>
      </fill>
    </dxf>
    <dxf>
      <fill>
        <patternFill>
          <fgColor indexed="64"/>
          <bgColor indexed="65"/>
        </patternFill>
      </fill>
      <alignment horizontal="center" vertical="bottom"/>
      <border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5" formatCode="h:mm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[$-409]h:mm\ AM/PM;@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dd\,\ mm/dd/yyyy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5" formatCode="h:mm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m/d/yy"/>
      <alignment horizontal="left" vertical="bottom"/>
    </dxf>
    <dxf>
      <fill>
        <patternFill>
          <fgColor indexed="64"/>
          <bgColor indexed="65"/>
        </patternFill>
      </fill>
      <alignment horizontal="center" vertical="bottom"/>
      <border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5" formatCode="h:mm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[$-409]h:mm\ AM/PM;@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dd\,\ mm/dd/yyyy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5" formatCode="h:mm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wrapText="1"/>
    </dxf>
    <dxf>
      <fill>
        <patternFill>
          <fgColor indexed="64"/>
          <bgColor indexed="65"/>
        </patternFill>
      </fill>
      <alignment horizontal="center" vertical="bottom"/>
      <border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5" formatCode="h:mm"/>
      <alignment horizontal="center" vertical="bottom"/>
      <border>
        <left/>
        <right style="thin">
          <color indexed="64"/>
        </right>
        <top/>
        <bottom/>
        <vertical/>
        <horizontal/>
      </border>
    </dxf>
    <dxf>
      <numFmt numFmtId="25" formatCode="h:mm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[$-409]h:mm\ AM/PM;@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ddd\,\ mm/dd/yyyy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5" formatCode="h:mm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J32" totalsRowShown="0" headerRowDxfId="154">
  <autoFilter ref="A2:AJ32" xr:uid="{00000000-0009-0000-0100-000001000000}"/>
  <tableColumns count="36">
    <tableColumn id="1" xr3:uid="{00000000-0010-0000-0000-000001000000}" name="Location Name"/>
    <tableColumn id="23" xr3:uid="{00000000-0010-0000-0000-000017000000}" name="Owner/Operator"/>
    <tableColumn id="25" xr3:uid="{00000000-0010-0000-0000-000019000000}" name="OperatorEmail" dataDxfId="153">
      <calculatedColumnFormula>LEFT(Table1[[#This Row],[Owner/Operator]], SEARCH(" ", Table1[[#This Row],[Owner/Operator]]) - 1) &amp; "@" &amp; Table1[[#This Row],[Email Domain]]</calculatedColumnFormula>
    </tableColumn>
    <tableColumn id="26" xr3:uid="{00000000-0010-0000-0000-00001A000000}" name="OperatorEmail2"/>
    <tableColumn id="24" xr3:uid="{00000000-0010-0000-0000-000018000000}" name="Organization"/>
    <tableColumn id="11" xr3:uid="{00000000-0010-0000-0000-00000B000000}" name="Supervisor"/>
    <tableColumn id="31" xr3:uid="{00000000-0010-0000-0000-00001F000000}" name="Effective Date"/>
    <tableColumn id="9" xr3:uid="{00000000-0010-0000-0000-000009000000}" name="SupEmail" dataDxfId="152">
      <calculatedColumnFormula>LEFT(Table1[[#This Row],[Supervisor]], SEARCH(" ", Table1[[#This Row],[Supervisor]]) - 1) &amp; "@" &amp; Table1[[#This Row],[Email Domain]]</calculatedColumnFormula>
    </tableColumn>
    <tableColumn id="19" xr3:uid="{00000000-0010-0000-0000-000013000000}" name="GM"/>
    <tableColumn id="21" xr3:uid="{00000000-0010-0000-0000-000015000000}" name="GMEmail" dataDxfId="151">
      <calculatedColumnFormula>LEFT(Table1[[#This Row],[GM]], SEARCH(" ", Table1[[#This Row],[GM]]) - 1) &amp; "@" &amp; Table1[[#This Row],[Email Domain]]</calculatedColumnFormula>
    </tableColumn>
    <tableColumn id="22" xr3:uid="{00000000-0010-0000-0000-000016000000}" name="Email Domain" dataDxfId="150"/>
    <tableColumn id="2" xr3:uid="{00000000-0010-0000-0000-000002000000}" name="Users"/>
    <tableColumn id="29" xr3:uid="{00000000-0010-0000-0000-00001D000000}" name="MDP Email" dataDxfId="149">
      <calculatedColumnFormula>"mcdok.mdp+"&amp;Table1[[#This Row],[Location Name]]&amp;"@gmail.com"</calculatedColumnFormula>
    </tableColumn>
    <tableColumn id="30" xr3:uid="{00000000-0010-0000-0000-00001E000000}" name="MDP Password" dataDxfId="148">
      <calculatedColumnFormula>"mcd"&amp;Table1[[#This Row],[Location Name]]</calculatedColumnFormula>
    </tableColumn>
    <tableColumn id="27" xr3:uid="{00000000-0010-0000-0000-00001B000000}" name="LocNameForDisplay"/>
    <tableColumn id="3" xr3:uid="{00000000-0010-0000-0000-000003000000}" name="Address"/>
    <tableColumn id="4" xr3:uid="{00000000-0010-0000-0000-000004000000}" name="Inventory D/W/M Setup Verified"/>
    <tableColumn id="5" xr3:uid="{00000000-0010-0000-0000-000005000000}" name="eProduction Settings Updated and Verified"/>
    <tableColumn id="20" xr3:uid="{00000000-0010-0000-0000-000014000000}" name="eProduction Verified Date" dataDxfId="147"/>
    <tableColumn id="6" xr3:uid="{00000000-0010-0000-0000-000006000000}" name="Weekly Inventory Count Day"/>
    <tableColumn id="15" xr3:uid="{00000000-0010-0000-0000-00000F000000}" name="FOB Risk Profile" dataDxfId="146">
      <calculatedColumnFormula>_xlfn.XLOOKUP(Table1[[#This Row],[Location Name]],'Risk Profiles'!$A$18:$A$37,'Risk Profiles'!$B$18:$B$37)</calculatedColumnFormula>
    </tableColumn>
    <tableColumn id="17" xr3:uid="{00000000-0010-0000-0000-000011000000}" name="FOB Driver" dataDxfId="145">
      <calculatedColumnFormula>_xlfn.XLOOKUP(Table1[[#This Row],[Location Name]],'Risk Profiles'!$A$18:$A$37,'Risk Profiles'!$C$18:$C$37)</calculatedColumnFormula>
    </tableColumn>
    <tableColumn id="16" xr3:uid="{00000000-0010-0000-0000-000010000000}" name="Controls Risk Profile" dataDxfId="144">
      <calculatedColumnFormula>_xlfn.XLOOKUP(Table1[[#This Row],[Location Name]],'Risk Profiles'!$A$18:$A$37,'Risk Profiles'!$D$18:$D$37)</calculatedColumnFormula>
    </tableColumn>
    <tableColumn id="18" xr3:uid="{00000000-0010-0000-0000-000012000000}" name="Controls Driver" dataDxfId="143">
      <calculatedColumnFormula>_xlfn.XLOOKUP(Table1[[#This Row],[Location Name]],'Risk Profiles'!$A$18:$A$37,'Risk Profiles'!$E$18:$E$37)</calculatedColumnFormula>
    </tableColumn>
    <tableColumn id="7" xr3:uid="{00000000-0010-0000-0000-000007000000}" name="Primary Counting Manager"/>
    <tableColumn id="8" xr3:uid="{00000000-0010-0000-0000-000008000000}" name="Mobile Inventory App Training Occurred"/>
    <tableColumn id="10" xr3:uid="{00000000-0010-0000-0000-00000A000000}" name="Mobile App Training Scheduled">
      <calculatedColumnFormula>_xlfn.XLOOKUP(A3,Table3[Location],Table3[Date Scheduled])</calculatedColumnFormula>
    </tableColumn>
    <tableColumn id="12" xr3:uid="{00000000-0010-0000-0000-00000C000000}" name="Martin Brower Delivery Day 1"/>
    <tableColumn id="13" xr3:uid="{00000000-0010-0000-0000-00000D000000}" name="Martin Brower Delivery Day 2"/>
    <tableColumn id="14" xr3:uid="{00000000-0010-0000-0000-00000E000000}" name="Martin Brower Delivery Day 3"/>
    <tableColumn id="28" xr3:uid="{00000000-0010-0000-0000-00001C000000}" name="Store Settings Updated for Inventory"/>
    <tableColumn id="32" xr3:uid="{00000000-0010-0000-0000-000020000000}" name="Scheduling Manager"/>
    <tableColumn id="33" xr3:uid="{00000000-0010-0000-0000-000021000000}" name="Schedule Workshop"/>
    <tableColumn id="34" xr3:uid="{00000000-0010-0000-0000-000022000000}" name="FLH Verified" dataDxfId="142"/>
    <tableColumn id="35" xr3:uid="{00000000-0010-0000-0000-000023000000}" name="Availability Update" dataDxfId="141"/>
    <tableColumn id="36" xr3:uid="{00000000-0010-0000-0000-000024000000}" name="Skill Levels Updated" dataDxfId="1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A2:BM22" totalsRowShown="0" headerRowDxfId="139" headerRowBorderDxfId="138" tableBorderDxfId="137" totalsRowBorderDxfId="136">
  <autoFilter ref="BA2:BM22" xr:uid="{00000000-0009-0000-0100-000002000000}"/>
  <sortState xmlns:xlrd2="http://schemas.microsoft.com/office/spreadsheetml/2017/richdata2" ref="BA3:BL22">
    <sortCondition ref="BF2:BF22"/>
  </sortState>
  <tableColumns count="13">
    <tableColumn id="2" xr3:uid="{00000000-0010-0000-0100-000002000000}" name="Location" dataDxfId="135"/>
    <tableColumn id="3" xr3:uid="{00000000-0010-0000-0100-000003000000}" name="Supervisor" dataDxfId="134">
      <calculatedColumnFormula>_xlfn.XLOOKUP($BA3,$A$3:$A$32,$F$3:$F$32)</calculatedColumnFormula>
    </tableColumn>
    <tableColumn id="14" xr3:uid="{00000000-0010-0000-0100-00000E000000}" name="GM" dataDxfId="133">
      <calculatedColumnFormula>_xlfn.XLOOKUP($BA3,$A$3:$A$32,$I$3:$I$32)</calculatedColumnFormula>
    </tableColumn>
    <tableColumn id="15" xr3:uid="{00000000-0010-0000-0100-00000F000000}" name="Counting Manager" dataDxfId="132">
      <calculatedColumnFormula>IF(_xlfn.XLOOKUP($BA3,$A$3:$A$32,$Y$3:$Y$32)="","",_xlfn.XLOOKUP($BA3,$A$3:$A$32,$Y$3:$Y$32))</calculatedColumnFormula>
    </tableColumn>
    <tableColumn id="4" xr3:uid="{00000000-0010-0000-0100-000004000000}" name="Time Needed" dataDxfId="131"/>
    <tableColumn id="5" xr3:uid="{00000000-0010-0000-0100-000005000000}" name="Date Scheduled" dataDxfId="130"/>
    <tableColumn id="6" xr3:uid="{00000000-0010-0000-0100-000006000000}" name="Start Time" dataDxfId="129"/>
    <tableColumn id="7" xr3:uid="{00000000-0010-0000-0100-000007000000}" name="RGR Date" dataDxfId="128" dataCellStyle="Neutral">
      <calculatedColumnFormula>_xlfn.XLOOKUP(Table3[[#This Row],[Location]],Table4[STORE '#],Table4[DATE RGR])</calculatedColumnFormula>
    </tableColumn>
    <tableColumn id="9" xr3:uid="{00000000-0010-0000-0100-000009000000}" name="Count Day" dataDxfId="127" dataCellStyle="Neutral">
      <calculatedColumnFormula>_xlfn.XLOOKUP(Table3[[#This Row],[Location]],Table1[Location Name],Table1[Weekly Inventory Count Day])</calculatedColumnFormula>
    </tableColumn>
    <tableColumn id="10" xr3:uid="{00000000-0010-0000-0100-00000A000000}" name="FOB Risk" dataDxfId="126">
      <calculatedColumnFormula>_xlfn.XLOOKUP(Table3[[#This Row],[Location]],Table1[Location Name],Table1[FOB Risk Profile])</calculatedColumnFormula>
    </tableColumn>
    <tableColumn id="16" xr3:uid="{00000000-0010-0000-0100-000010000000}" name="Validity" dataDxfId="125" dataCellStyle="Good"/>
    <tableColumn id="17" xr3:uid="{00000000-0010-0000-0100-000011000000}" name="Status"/>
    <tableColumn id="1" xr3:uid="{00000000-0010-0000-0100-000001000000}" name="Store Settings Updated for Inventory" dataDxfId="1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9" displayName="Table39" ref="A2:M23" totalsRowShown="0" headerRowDxfId="123" headerRowBorderDxfId="122" tableBorderDxfId="121" totalsRowBorderDxfId="120">
  <autoFilter ref="A2:M23" xr:uid="{00000000-0009-0000-0100-000003000000}">
    <filterColumn colId="6">
      <customFilters>
        <customFilter operator="notEqual" val=" "/>
      </customFilters>
    </filterColumn>
  </autoFilter>
  <sortState xmlns:xlrd2="http://schemas.microsoft.com/office/spreadsheetml/2017/richdata2" ref="A3:M22">
    <sortCondition ref="I2:I23"/>
  </sortState>
  <tableColumns count="13">
    <tableColumn id="2" xr3:uid="{00000000-0010-0000-0200-000002000000}" name="Location" dataDxfId="119"/>
    <tableColumn id="35" xr3:uid="{00000000-0010-0000-0200-000023000000}" name="LocationName" dataDxfId="118"/>
    <tableColumn id="3" xr3:uid="{00000000-0010-0000-0200-000003000000}" name="Supervisor" dataDxfId="117">
      <calculatedColumnFormula>_xlfn.XLOOKUP($A3,Table1[Location Name],Table1[Supervisor])</calculatedColumnFormula>
    </tableColumn>
    <tableColumn id="14" xr3:uid="{00000000-0010-0000-0200-00000E000000}" name="GM" dataDxfId="116">
      <calculatedColumnFormula>_xlfn.XLOOKUP($A3,Table1[Location Name],Table1[GM])</calculatedColumnFormula>
    </tableColumn>
    <tableColumn id="15" xr3:uid="{00000000-0010-0000-0200-00000F000000}" name="Counting Manager" dataDxfId="115">
      <calculatedColumnFormula>IF(_xlfn.XLOOKUP($A3,Table1[Location Name],Table1[Primary Counting Manager])="","",_xlfn.XLOOKUP($A3,Table1[Location Name],Table1[Primary Counting Manager]))</calculatedColumnFormula>
    </tableColumn>
    <tableColumn id="4" xr3:uid="{00000000-0010-0000-0200-000004000000}" name="Time Needed" dataDxfId="114"/>
    <tableColumn id="5" xr3:uid="{00000000-0010-0000-0200-000005000000}" name="Date Scheduled" dataDxfId="113"/>
    <tableColumn id="6" xr3:uid="{00000000-0010-0000-0200-000006000000}" name="Start Time" dataDxfId="112"/>
    <tableColumn id="7" xr3:uid="{00000000-0010-0000-0200-000007000000}" name="RGR Date" dataDxfId="111" dataCellStyle="Neutral">
      <calculatedColumnFormula>_xlfn.XLOOKUP(Table39[[#This Row],[Location]],Table4[STORE '#],Table4[DATE RGR])</calculatedColumnFormula>
    </tableColumn>
    <tableColumn id="9" xr3:uid="{00000000-0010-0000-0200-000009000000}" name="Count Day" dataDxfId="110" dataCellStyle="Neutral">
      <calculatedColumnFormula>_xlfn.XLOOKUP(Table39[[#This Row],[Location]],Table1[Location Name],Table1[Weekly Inventory Count Day])</calculatedColumnFormula>
    </tableColumn>
    <tableColumn id="10" xr3:uid="{00000000-0010-0000-0200-00000A000000}" name="FOB Risk" dataDxfId="109">
      <calculatedColumnFormula>_xlfn.XLOOKUP(Table39[[#This Row],[Location]],Table1[Location Name],Table1[FOB Risk Profile])</calculatedColumnFormula>
    </tableColumn>
    <tableColumn id="16" xr3:uid="{00000000-0010-0000-0200-000010000000}" name="Validity" dataDxfId="108" dataCellStyle="Good"/>
    <tableColumn id="17" xr3:uid="{00000000-0010-0000-0200-000011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93" displayName="Table393" ref="A2:Q23" totalsRowShown="0" headerRowDxfId="171" headerRowBorderDxfId="170" tableBorderDxfId="169" totalsRowBorderDxfId="168">
  <autoFilter ref="A2:Q23" xr:uid="{00000000-0009-0000-0100-000004000000}">
    <filterColumn colId="6">
      <customFilters>
        <customFilter operator="notEqual" val=" "/>
      </customFilters>
    </filterColumn>
  </autoFilter>
  <sortState xmlns:xlrd2="http://schemas.microsoft.com/office/spreadsheetml/2017/richdata2" ref="A3:Q22">
    <sortCondition ref="G2:G23"/>
  </sortState>
  <tableColumns count="17">
    <tableColumn id="2" xr3:uid="{00000000-0010-0000-0300-000002000000}" name="Location" dataDxfId="167"/>
    <tableColumn id="35" xr3:uid="{00000000-0010-0000-0300-000023000000}" name="LocationName" dataDxfId="166"/>
    <tableColumn id="3" xr3:uid="{00000000-0010-0000-0300-000003000000}" name="Supervisor" dataDxfId="165">
      <calculatedColumnFormula>_xlfn.XLOOKUP($A3,Table1[Location Name],Table1[Supervisor])</calculatedColumnFormula>
    </tableColumn>
    <tableColumn id="14" xr3:uid="{00000000-0010-0000-0300-00000E000000}" name="GM" dataDxfId="164">
      <calculatedColumnFormula>_xlfn.XLOOKUP($A3,Table1[Location Name],Table1[GM])</calculatedColumnFormula>
    </tableColumn>
    <tableColumn id="15" xr3:uid="{00000000-0010-0000-0300-00000F000000}" name="Scheduling Manager" dataDxfId="163">
      <calculatedColumnFormula>IF(_xlfn.XLOOKUP($A3,Table1[Location Name],Table1[Primary Counting Manager])="","",_xlfn.XLOOKUP($A3,Table1[Location Name],Table1[Primary Counting Manager]))</calculatedColumnFormula>
    </tableColumn>
    <tableColumn id="4" xr3:uid="{00000000-0010-0000-0300-000004000000}" name="Time Needed" dataDxfId="162"/>
    <tableColumn id="5" xr3:uid="{00000000-0010-0000-0300-000005000000}" name="Date Scheduled" dataDxfId="161"/>
    <tableColumn id="6" xr3:uid="{00000000-0010-0000-0300-000006000000}" name="Start Time" dataDxfId="160"/>
    <tableColumn id="7" xr3:uid="{00000000-0010-0000-0300-000007000000}" name="RGR Date" dataDxfId="159" dataCellStyle="Neutral">
      <calculatedColumnFormula>_xlfn.XLOOKUP(Table393[[#This Row],[Location]],Table4[STORE '#],Table4[DATE RGR])</calculatedColumnFormula>
    </tableColumn>
    <tableColumn id="9" xr3:uid="{00000000-0010-0000-0300-000009000000}" name="Count Day" dataDxfId="158" dataCellStyle="Neutral">
      <calculatedColumnFormula>_xlfn.XLOOKUP(Table393[[#This Row],[Location]],Table1[Location Name],Table1[Weekly Inventory Count Day])</calculatedColumnFormula>
    </tableColumn>
    <tableColumn id="10" xr3:uid="{00000000-0010-0000-0300-00000A000000}" name="Sched Risk" dataDxfId="157">
      <calculatedColumnFormula>_xlfn.XLOOKUP(Table393[[#This Row],[Location]],Table1[Location Name],Table1[FOB Risk Profile])</calculatedColumnFormula>
    </tableColumn>
    <tableColumn id="13" xr3:uid="{00000000-0010-0000-0300-00000D000000}" name="1st Schedule Week" dataDxfId="156"/>
    <tableColumn id="16" xr3:uid="{00000000-0010-0000-0300-000010000000}" name="GM Engagement" dataDxfId="155" dataCellStyle="Good"/>
    <tableColumn id="17" xr3:uid="{00000000-0010-0000-0300-000011000000}" name="Sched Mgr Engagement"/>
    <tableColumn id="1" xr3:uid="{00000000-0010-0000-0300-000001000000}" name="Execution Confidence"/>
    <tableColumn id="11" xr3:uid="{00000000-0010-0000-0300-00000B000000}" name="if only 5 of these 20 improve, is this store one of them?"/>
    <tableColumn id="8" xr3:uid="{00000000-0010-0000-03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2" displayName="Table12" ref="A7:A37" totalsRowShown="0" headerRowDxfId="107" dataDxfId="106" tableBorderDxfId="105">
  <autoFilter ref="A7:A37" xr:uid="{00000000-0009-0000-0100-000005000000}"/>
  <tableColumns count="1">
    <tableColumn id="1" xr3:uid="{00000000-0010-0000-0400-000001000000}" name="Date" dataDxfId="10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214" displayName="Table1214" ref="A7:A37" totalsRowShown="0" headerRowDxfId="103" dataDxfId="102" tableBorderDxfId="101">
  <autoFilter ref="A7:A37" xr:uid="{00000000-0009-0000-0100-000006000000}"/>
  <tableColumns count="1">
    <tableColumn id="1" xr3:uid="{00000000-0010-0000-0500-000001000000}" name="Date" dataDxfId="10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21415" displayName="Table121415" ref="A7:A37" totalsRowShown="0" headerRowDxfId="99" dataDxfId="98" tableBorderDxfId="97">
  <autoFilter ref="A7:A37" xr:uid="{00000000-0009-0000-0100-000007000000}"/>
  <tableColumns count="1">
    <tableColumn id="1" xr3:uid="{00000000-0010-0000-0600-000001000000}" name="Date" dataDxfId="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2141516" displayName="Table12141516" ref="A7:A37" totalsRowShown="0" headerRowDxfId="95" dataDxfId="94" tableBorderDxfId="93">
  <autoFilter ref="A7:A37" xr:uid="{00000000-0009-0000-0100-000008000000}"/>
  <tableColumns count="1">
    <tableColumn id="1" xr3:uid="{00000000-0010-0000-0700-000001000000}" name="Date" dataDxfId="9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214151617" displayName="Table1214151617" ref="A7:A37" totalsRowShown="0" headerRowDxfId="91" dataDxfId="90" tableBorderDxfId="89">
  <autoFilter ref="A7:A37" xr:uid="{00000000-0009-0000-0100-000009000000}"/>
  <tableColumns count="1">
    <tableColumn id="1" xr3:uid="{00000000-0010-0000-0800-000001000000}" name="Date" dataDxfId="8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21415161718" displayName="Table121415161718" ref="A7:A37" totalsRowShown="0" headerRowDxfId="87" dataDxfId="86" tableBorderDxfId="85">
  <autoFilter ref="A7:A37" xr:uid="{00000000-0009-0000-0100-00000A000000}"/>
  <tableColumns count="1">
    <tableColumn id="1" xr3:uid="{00000000-0010-0000-0900-000001000000}" name="Date" dataDxfId="8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2141516171819" displayName="Table12141516171819" ref="A7:A37" totalsRowShown="0" headerRowDxfId="83" dataDxfId="82" tableBorderDxfId="81">
  <autoFilter ref="A7:A37" xr:uid="{00000000-0009-0000-0100-00000B000000}"/>
  <tableColumns count="1">
    <tableColumn id="1" xr3:uid="{00000000-0010-0000-0A00-000001000000}" name="Date" dataDxfId="8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14151617181920" displayName="Table1214151617181920" ref="A7:A37" totalsRowShown="0" headerRowDxfId="79" dataDxfId="78" tableBorderDxfId="77">
  <autoFilter ref="A7:A37" xr:uid="{00000000-0009-0000-0100-00000C000000}"/>
  <tableColumns count="1">
    <tableColumn id="1" xr3:uid="{00000000-0010-0000-0B00-000001000000}" name="Date" dataDxfId="7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1415161718192021" displayName="Table121415161718192021" ref="A7:A37" totalsRowShown="0" headerRowDxfId="75" dataDxfId="74" tableBorderDxfId="73">
  <autoFilter ref="A7:A37" xr:uid="{00000000-0009-0000-0100-00000D000000}"/>
  <tableColumns count="1">
    <tableColumn id="1" xr3:uid="{00000000-0010-0000-0C00-000001000000}" name="Date" dataDxfId="7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2141516171819202122" displayName="Table12141516171819202122" ref="A7:A37" totalsRowShown="0" headerRowDxfId="71" dataDxfId="70" tableBorderDxfId="69">
  <autoFilter ref="A7:A37" xr:uid="{00000000-0009-0000-0100-00000E000000}"/>
  <tableColumns count="1">
    <tableColumn id="1" xr3:uid="{00000000-0010-0000-0D00-000001000000}" name="Date" dataDxfId="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214151617181920212223" displayName="Table1214151617181920212223" ref="A7:A37" totalsRowShown="0" headerRowDxfId="67" dataDxfId="66" tableBorderDxfId="65">
  <autoFilter ref="A7:A37" xr:uid="{00000000-0009-0000-0100-00000F000000}"/>
  <tableColumns count="1">
    <tableColumn id="1" xr3:uid="{00000000-0010-0000-0E00-000001000000}" name="Date" dataDxfId="6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21415161718192021222324" displayName="Table121415161718192021222324" ref="A7:A37" totalsRowShown="0" headerRowDxfId="63" dataDxfId="62" tableBorderDxfId="61">
  <autoFilter ref="A7:A37" xr:uid="{00000000-0009-0000-0100-000010000000}"/>
  <tableColumns count="1">
    <tableColumn id="1" xr3:uid="{00000000-0010-0000-0F00-000001000000}" name="Date" dataDxfId="6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2141516171819202122232425" displayName="Table12141516171819202122232425" ref="A7:A37" totalsRowShown="0" headerRowDxfId="59" dataDxfId="58" tableBorderDxfId="57">
  <autoFilter ref="A7:A37" xr:uid="{00000000-0009-0000-0100-000011000000}"/>
  <tableColumns count="1">
    <tableColumn id="1" xr3:uid="{00000000-0010-0000-1000-000001000000}" name="Date" dataDxfId="5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214151617181920212223242526" displayName="Table1214151617181920212223242526" ref="A7:A37" totalsRowShown="0" headerRowDxfId="55" dataDxfId="54" tableBorderDxfId="53">
  <autoFilter ref="A7:A37" xr:uid="{00000000-0009-0000-0100-000012000000}"/>
  <tableColumns count="1">
    <tableColumn id="1" xr3:uid="{00000000-0010-0000-1100-000001000000}" name="Date" dataDxfId="5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21415161718192021222324252627" displayName="Table121415161718192021222324252627" ref="A7:A37" totalsRowShown="0" headerRowDxfId="51" dataDxfId="50" tableBorderDxfId="49">
  <autoFilter ref="A7:A37" xr:uid="{00000000-0009-0000-0100-000013000000}"/>
  <tableColumns count="1">
    <tableColumn id="1" xr3:uid="{00000000-0010-0000-1200-000001000000}" name="Date" dataDxfId="4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2141516171819202122232425262728" displayName="Table12141516171819202122232425262728" ref="A7:A37" totalsRowShown="0" headerRowDxfId="47" dataDxfId="46" tableBorderDxfId="45">
  <autoFilter ref="A7:A37" xr:uid="{00000000-0009-0000-0100-000014000000}"/>
  <tableColumns count="1">
    <tableColumn id="1" xr3:uid="{00000000-0010-0000-1300-000001000000}" name="Date" dataDxfId="4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214151617181920212223242526272829" displayName="Table1214151617181920212223242526272829" ref="A7:A37" totalsRowShown="0" headerRowDxfId="43" dataDxfId="42" tableBorderDxfId="41">
  <autoFilter ref="A7:A37" xr:uid="{00000000-0009-0000-0100-000015000000}"/>
  <tableColumns count="1">
    <tableColumn id="1" xr3:uid="{00000000-0010-0000-1400-000001000000}" name="Date" dataDxfId="4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121415161718192021222324252627282930" displayName="Table121415161718192021222324252627282930" ref="A7:A37" totalsRowShown="0" headerRowDxfId="39" dataDxfId="38" tableBorderDxfId="37">
  <autoFilter ref="A7:A37" xr:uid="{00000000-0009-0000-0100-000016000000}"/>
  <tableColumns count="1">
    <tableColumn id="1" xr3:uid="{00000000-0010-0000-1500-000001000000}" name="Date" dataDxfId="3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12141516171819202122232425262728293031" displayName="Table12141516171819202122232425262728293031" ref="A7:A37" totalsRowShown="0" headerRowDxfId="35" dataDxfId="34" tableBorderDxfId="33">
  <autoFilter ref="A7:A37" xr:uid="{00000000-0009-0000-0100-000017000000}"/>
  <tableColumns count="1">
    <tableColumn id="1" xr3:uid="{00000000-0010-0000-1600-000001000000}" name="Date" dataDxfId="3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1214151617181920212223242526272829303132" displayName="Table1214151617181920212223242526272829303132" ref="A7:A37" totalsRowShown="0" headerRowDxfId="31" dataDxfId="30" tableBorderDxfId="29">
  <autoFilter ref="A7:A37" xr:uid="{00000000-0009-0000-0100-000018000000}"/>
  <tableColumns count="1">
    <tableColumn id="1" xr3:uid="{00000000-0010-0000-1700-000001000000}" name="Date" dataDxfId="2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4" displayName="Table4" ref="A1:F21" totalsRowShown="0" headerRowDxfId="27" dataDxfId="26">
  <autoFilter ref="A1:F21" xr:uid="{00000000-0009-0000-0100-000019000000}"/>
  <tableColumns count="6">
    <tableColumn id="1" xr3:uid="{00000000-0010-0000-1800-000001000000}" name="STORE #" dataDxfId="25"/>
    <tableColumn id="2" xr3:uid="{00000000-0010-0000-1800-000002000000}" name="STORE NAME" dataDxfId="24"/>
    <tableColumn id="3" xr3:uid="{00000000-0010-0000-1800-000003000000}" name="DATE RGR" dataDxfId="23"/>
    <tableColumn id="4" xr3:uid="{00000000-0010-0000-1800-000004000000}" name="Confirmed (X)" dataDxfId="22"/>
    <tableColumn id="5" xr3:uid="{00000000-0010-0000-1800-000005000000}" name="By Whom" dataDxfId="21"/>
    <tableColumn id="6" xr3:uid="{00000000-0010-0000-1800-000006000000}" name="Score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thy@mcdok.com" TargetMode="External"/><Relationship Id="rId13" Type="http://schemas.openxmlformats.org/officeDocument/2006/relationships/hyperlink" Target="mailto:angelo@mcdok.com" TargetMode="External"/><Relationship Id="rId3" Type="http://schemas.openxmlformats.org/officeDocument/2006/relationships/hyperlink" Target="mailto:rick@mcdok.com" TargetMode="External"/><Relationship Id="rId7" Type="http://schemas.openxmlformats.org/officeDocument/2006/relationships/hyperlink" Target="mailto:rick@mcdok.com" TargetMode="External"/><Relationship Id="rId12" Type="http://schemas.openxmlformats.org/officeDocument/2006/relationships/hyperlink" Target="mailto:kathy@mcdok.com" TargetMode="External"/><Relationship Id="rId2" Type="http://schemas.openxmlformats.org/officeDocument/2006/relationships/hyperlink" Target="mailto:kathy@mcdok.com" TargetMode="External"/><Relationship Id="rId1" Type="http://schemas.openxmlformats.org/officeDocument/2006/relationships/hyperlink" Target="mailto:rick@mcdok.com" TargetMode="External"/><Relationship Id="rId6" Type="http://schemas.openxmlformats.org/officeDocument/2006/relationships/hyperlink" Target="mailto:kathy@mcdok.com" TargetMode="External"/><Relationship Id="rId11" Type="http://schemas.openxmlformats.org/officeDocument/2006/relationships/hyperlink" Target="mailto:rick@mcdok.com" TargetMode="External"/><Relationship Id="rId5" Type="http://schemas.openxmlformats.org/officeDocument/2006/relationships/hyperlink" Target="mailto:rick@mcdok.com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kathy@mcdok.com" TargetMode="External"/><Relationship Id="rId4" Type="http://schemas.openxmlformats.org/officeDocument/2006/relationships/hyperlink" Target="mailto:kathy@mcdok.com" TargetMode="External"/><Relationship Id="rId9" Type="http://schemas.openxmlformats.org/officeDocument/2006/relationships/hyperlink" Target="mailto:rick@mcdok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BN49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baseColWidth="10" defaultRowHeight="15"/>
  <cols>
    <col min="1" max="1" width="12.5" customWidth="1"/>
    <col min="2" max="2" width="15.1640625" customWidth="1"/>
    <col min="3" max="3" width="22.33203125" customWidth="1"/>
    <col min="4" max="7" width="15.1640625" customWidth="1"/>
    <col min="8" max="8" width="21.5" customWidth="1"/>
    <col min="9" max="9" width="15.5" customWidth="1"/>
    <col min="10" max="10" width="25.5" customWidth="1"/>
    <col min="11" max="11" width="15.1640625" hidden="1" customWidth="1"/>
    <col min="12" max="12" width="9.6640625" hidden="1" customWidth="1"/>
    <col min="13" max="13" width="26.1640625" bestFit="1" customWidth="1"/>
    <col min="14" max="14" width="26.1640625" customWidth="1"/>
    <col min="15" max="15" width="33.83203125" customWidth="1"/>
    <col min="16" max="16" width="50.5" customWidth="1"/>
    <col min="17" max="19" width="12.83203125" customWidth="1"/>
    <col min="20" max="21" width="13.1640625" customWidth="1"/>
    <col min="22" max="22" width="40.83203125" bestFit="1" customWidth="1"/>
    <col min="23" max="23" width="13.1640625" customWidth="1"/>
    <col min="24" max="24" width="44.1640625" bestFit="1" customWidth="1"/>
    <col min="25" max="25" width="14.83203125" bestFit="1" customWidth="1"/>
    <col min="26" max="26" width="12.83203125" customWidth="1"/>
    <col min="27" max="27" width="12" customWidth="1"/>
    <col min="28" max="28" width="14.1640625" customWidth="1"/>
    <col min="29" max="29" width="15.6640625" customWidth="1"/>
    <col min="30" max="32" width="14.83203125" customWidth="1"/>
    <col min="33" max="33" width="14.83203125" bestFit="1" customWidth="1"/>
    <col min="34" max="34" width="10.33203125" customWidth="1"/>
    <col min="35" max="35" width="15.1640625" customWidth="1"/>
    <col min="36" max="36" width="12" bestFit="1" customWidth="1"/>
    <col min="37" max="37" width="14.83203125" customWidth="1"/>
    <col min="38" max="38" width="13.1640625" customWidth="1"/>
    <col min="39" max="39" width="14.6640625" customWidth="1"/>
    <col min="40" max="40" width="15.83203125" customWidth="1"/>
    <col min="41" max="41" width="10.83203125" style="2" customWidth="1"/>
    <col min="42" max="43" width="10.83203125" customWidth="1"/>
    <col min="44" max="44" width="19.5" style="24" customWidth="1"/>
    <col min="45" max="45" width="26.33203125" style="56" customWidth="1"/>
    <col min="46" max="47" width="13.83203125" style="102" customWidth="1"/>
    <col min="48" max="48" width="21.83203125" style="56" bestFit="1" customWidth="1"/>
    <col min="50" max="50" width="21.83203125" bestFit="1" customWidth="1"/>
    <col min="51" max="51" width="20.83203125" bestFit="1" customWidth="1"/>
  </cols>
  <sheetData>
    <row r="1" spans="1:66" ht="24" customHeight="1">
      <c r="A1" t="s">
        <v>88</v>
      </c>
      <c r="AZ1" s="2">
        <f ca="1">TODAY()</f>
        <v>46266</v>
      </c>
      <c r="BA1" s="139" t="s">
        <v>89</v>
      </c>
      <c r="BB1" s="140"/>
      <c r="BC1" s="140"/>
      <c r="BD1" s="140"/>
      <c r="BE1" s="140"/>
      <c r="BF1" s="140"/>
      <c r="BG1" s="140"/>
      <c r="BH1" s="140"/>
      <c r="BI1" s="141"/>
      <c r="BJ1" s="53"/>
      <c r="BK1" s="24"/>
      <c r="BL1" s="56" t="s">
        <v>90</v>
      </c>
      <c r="BM1" s="102"/>
      <c r="BN1" s="102"/>
    </row>
    <row r="2" spans="1:66" s="1" customFormat="1" ht="64" customHeight="1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3</v>
      </c>
      <c r="G2" s="1" t="s">
        <v>96</v>
      </c>
      <c r="H2" s="1" t="s">
        <v>97</v>
      </c>
      <c r="I2" s="1" t="s">
        <v>4</v>
      </c>
      <c r="J2" s="1" t="s">
        <v>98</v>
      </c>
      <c r="K2" s="1" t="s">
        <v>99</v>
      </c>
      <c r="L2" s="1" t="s">
        <v>100</v>
      </c>
      <c r="M2" s="1" t="s">
        <v>101</v>
      </c>
      <c r="N2" s="1" t="s">
        <v>102</v>
      </c>
      <c r="O2" s="1" t="s">
        <v>103</v>
      </c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108</v>
      </c>
      <c r="U2" s="1" t="s">
        <v>109</v>
      </c>
      <c r="V2" s="1" t="s">
        <v>110</v>
      </c>
      <c r="W2" s="1" t="s">
        <v>111</v>
      </c>
      <c r="X2" s="1" t="s">
        <v>112</v>
      </c>
      <c r="Y2" s="1" t="s">
        <v>113</v>
      </c>
      <c r="Z2" s="1" t="s">
        <v>114</v>
      </c>
      <c r="AA2" s="1" t="s">
        <v>115</v>
      </c>
      <c r="AB2" s="1" t="s">
        <v>116</v>
      </c>
      <c r="AC2" s="1" t="s">
        <v>117</v>
      </c>
      <c r="AD2" s="1" t="s">
        <v>118</v>
      </c>
      <c r="AE2" s="127" t="s">
        <v>119</v>
      </c>
      <c r="AF2" s="128" t="s">
        <v>5</v>
      </c>
      <c r="AG2" s="128" t="s">
        <v>120</v>
      </c>
      <c r="AH2" s="1" t="s">
        <v>121</v>
      </c>
      <c r="AI2" s="1" t="s">
        <v>122</v>
      </c>
      <c r="AJ2" s="1" t="s">
        <v>123</v>
      </c>
      <c r="AK2" s="128" t="s">
        <v>12</v>
      </c>
      <c r="AV2" s="56"/>
      <c r="BA2" s="54" t="s">
        <v>1</v>
      </c>
      <c r="BB2" s="54" t="s">
        <v>3</v>
      </c>
      <c r="BC2" s="54" t="s">
        <v>4</v>
      </c>
      <c r="BD2" s="54" t="s">
        <v>124</v>
      </c>
      <c r="BE2" s="54" t="s">
        <v>6</v>
      </c>
      <c r="BF2" s="54" t="s">
        <v>7</v>
      </c>
      <c r="BG2" s="54" t="s">
        <v>8</v>
      </c>
      <c r="BH2" s="55" t="s">
        <v>9</v>
      </c>
      <c r="BI2" s="54" t="s">
        <v>10</v>
      </c>
      <c r="BJ2" s="54" t="s">
        <v>125</v>
      </c>
      <c r="BK2" s="62" t="s">
        <v>126</v>
      </c>
      <c r="BL2" s="64" t="s">
        <v>127</v>
      </c>
      <c r="BM2" s="103" t="s">
        <v>119</v>
      </c>
      <c r="BN2" s="115"/>
    </row>
    <row r="3" spans="1:66" ht="16" customHeight="1">
      <c r="A3" s="3">
        <v>3708</v>
      </c>
      <c r="B3" s="3" t="s">
        <v>128</v>
      </c>
      <c r="C3" t="str">
        <f>LEFT(Table1[[#This Row],[Owner/Operator]], SEARCH(" ", Table1[[#This Row],[Owner/Operator]]) - 1) &amp; "@" &amp; Table1[[#This Row],[Email Domain]]</f>
        <v>Ryan@mcdok.com</v>
      </c>
      <c r="E3" s="3" t="s">
        <v>129</v>
      </c>
      <c r="F3" t="s">
        <v>130</v>
      </c>
      <c r="H3" t="str">
        <f>LEFT(Table1[[#This Row],[Supervisor]], SEARCH(" ", Table1[[#This Row],[Supervisor]]) - 1) &amp; "@" &amp; Table1[[#This Row],[Email Domain]]</f>
        <v>Robert@mcdok.com</v>
      </c>
      <c r="I3" t="s">
        <v>131</v>
      </c>
      <c r="J3" t="str">
        <f>LEFT(Table1[[#This Row],[GM]], SEARCH(" ", Table1[[#This Row],[GM]]) - 1) &amp; "@" &amp; Table1[[#This Row],[Email Domain]]</f>
        <v>Cinthya@mcdok.com</v>
      </c>
      <c r="K3" t="s">
        <v>132</v>
      </c>
      <c r="L3" t="s">
        <v>133</v>
      </c>
      <c r="M3" t="str">
        <f>"mcdok.mdp+"&amp;Table1[[#This Row],[Location Name]]&amp;"@gmail.com"</f>
        <v>mcdok.mdp+3708@gmail.com</v>
      </c>
      <c r="N3" s="116" t="str">
        <f>"Mcdok.mdp"&amp;Table1[[#This Row],[Location Name]]</f>
        <v>Mcdok.mdp3708</v>
      </c>
      <c r="O3" s="131" t="s">
        <v>134</v>
      </c>
      <c r="P3" t="s">
        <v>135</v>
      </c>
      <c r="Q3" t="s">
        <v>35</v>
      </c>
      <c r="R3" t="s">
        <v>23</v>
      </c>
      <c r="S3" s="2"/>
      <c r="T3" t="s">
        <v>136</v>
      </c>
      <c r="U3" t="str">
        <f>_xlfn.XLOOKUP(Table1[[#This Row],[Location Name]],'Risk Profiles'!$A$18:$A$37,'Risk Profiles'!$B$18:$B$37)</f>
        <v>Medium</v>
      </c>
      <c r="V3" t="str">
        <f>_xlfn.XLOOKUP(Table1[[#This Row],[Location Name]],'Risk Profiles'!$A$18:$A$37,'Risk Profiles'!$C$18:$C$37)</f>
        <v>Within Normal range</v>
      </c>
      <c r="W3" t="str">
        <f>_xlfn.XLOOKUP(Table1[[#This Row],[Location Name]],'Risk Profiles'!$A$18:$A$37,'Risk Profiles'!$D$18:$D$37)</f>
        <v>High</v>
      </c>
      <c r="X3" t="str">
        <f>_xlfn.XLOOKUP(Table1[[#This Row],[Location Name]],'Risk Profiles'!$A$18:$A$37,'Risk Profiles'!$E$18:$E$37)</f>
        <v>T-Red After (0.29%), Cash O/S (0.04%), Overrings (0.58%)</v>
      </c>
      <c r="Y3" t="s">
        <v>137</v>
      </c>
      <c r="Z3" t="s">
        <v>35</v>
      </c>
      <c r="AA3" s="2">
        <f>_xlfn.XLOOKUP(A3,Table3[Location],Table3[Date Scheduled])</f>
        <v>46133</v>
      </c>
      <c r="AB3" t="s">
        <v>138</v>
      </c>
      <c r="AC3" t="s">
        <v>139</v>
      </c>
      <c r="AE3" s="102">
        <v>46128</v>
      </c>
      <c r="AF3" s="24" t="s">
        <v>82</v>
      </c>
      <c r="AG3" s="129">
        <v>46268</v>
      </c>
      <c r="AH3" t="s">
        <v>35</v>
      </c>
      <c r="AI3" t="s">
        <v>35</v>
      </c>
      <c r="AJ3" t="s">
        <v>35</v>
      </c>
      <c r="AK3" s="137">
        <f ca="1">IFERROR(INDEX('Scheduling Setup'!$L:$L,MATCH($A3,'Scheduling Setup'!$A:$A,0)),"")</f>
        <v>46274</v>
      </c>
      <c r="AW3" s="56"/>
      <c r="AX3" s="56"/>
      <c r="BA3" s="19">
        <v>6972</v>
      </c>
      <c r="BB3" s="19" t="str">
        <f t="shared" ref="BB3:BB22" si="0">_xlfn.XLOOKUP($BA3,$A$3:$A$32,$F$3:$F$32)</f>
        <v>Robert Spencer</v>
      </c>
      <c r="BC3" s="19" t="str">
        <f t="shared" ref="BC3:BC22" si="1">_xlfn.XLOOKUP($BA3,$A$3:$A$32,$I$3:$I$32)</f>
        <v>Nick Rice</v>
      </c>
      <c r="BD3" s="19" t="str">
        <f t="shared" ref="BD3:BD22" si="2">IF(_xlfn.XLOOKUP($BA3,$A$3:$A$32,$Y$3:$Y$32)="","",_xlfn.XLOOKUP($BA3,$A$3:$A$32,$Y$3:$Y$32))</f>
        <v>Beth</v>
      </c>
      <c r="BE3" s="10"/>
      <c r="BF3" s="20">
        <v>46065</v>
      </c>
      <c r="BG3" s="29"/>
      <c r="BH3" s="49">
        <f>_xlfn.XLOOKUP(Table3[[#This Row],[Location]],Table4[STORE '#],Table4[DATE RGR])</f>
        <v>46063</v>
      </c>
      <c r="BI3" s="50" t="str">
        <f>_xlfn.XLOOKUP(Table3[[#This Row],[Location]],Table1[Location Name],Table1[Weekly Inventory Count Day])</f>
        <v>Thursday</v>
      </c>
      <c r="BJ3" s="10" t="str">
        <f>_xlfn.XLOOKUP(Table3[[#This Row],[Location]],Table1[Location Name],Table1[FOB Risk Profile])</f>
        <v>Medium</v>
      </c>
      <c r="BK3" s="59"/>
      <c r="BL3" s="56"/>
      <c r="BM3" s="102">
        <v>46128</v>
      </c>
      <c r="BN3" s="102"/>
    </row>
    <row r="4" spans="1:66" ht="16" customHeight="1">
      <c r="A4" s="3">
        <v>5183</v>
      </c>
      <c r="B4" s="3" t="s">
        <v>140</v>
      </c>
      <c r="C4" s="3" t="str">
        <f>LEFT(Table1[[#This Row],[Owner/Operator]], SEARCH(" ", Table1[[#This Row],[Owner/Operator]]) - 1) &amp; "@" &amp; Table1[[#This Row],[Email Domain]]</f>
        <v>Gary@mcdok.com</v>
      </c>
      <c r="D4" s="3"/>
      <c r="E4" s="3" t="s">
        <v>129</v>
      </c>
      <c r="F4" t="s">
        <v>141</v>
      </c>
      <c r="H4" t="str">
        <f>LEFT(Table1[[#This Row],[Supervisor]], SEARCH(" ", Table1[[#This Row],[Supervisor]]) - 1) &amp; "@" &amp; Table1[[#This Row],[Email Domain]]</f>
        <v>Krystiana@mcdok.com</v>
      </c>
      <c r="I4" t="s">
        <v>142</v>
      </c>
      <c r="J4" t="str">
        <f>LEFT(Table1[[#This Row],[GM]], SEARCH(" ", Table1[[#This Row],[GM]]) - 1) &amp; "@" &amp; Table1[[#This Row],[Email Domain]]</f>
        <v>Mukarram@mcdok.com</v>
      </c>
      <c r="K4" t="s">
        <v>132</v>
      </c>
      <c r="L4" t="s">
        <v>143</v>
      </c>
      <c r="M4" t="str">
        <f>"mcdok.mdp+"&amp;Table1[[#This Row],[Location Name]]&amp;"@gmail.com"</f>
        <v>mcdok.mdp+5183@gmail.com</v>
      </c>
      <c r="N4" s="116" t="str">
        <f>"Mcdok.mdp"&amp;Table1[[#This Row],[Location Name]]</f>
        <v>Mcdok.mdp5183</v>
      </c>
      <c r="O4" s="131" t="s">
        <v>144</v>
      </c>
      <c r="P4" t="s">
        <v>145</v>
      </c>
      <c r="Q4" t="s">
        <v>35</v>
      </c>
      <c r="R4" t="s">
        <v>23</v>
      </c>
      <c r="S4" s="2"/>
      <c r="T4" t="s">
        <v>146</v>
      </c>
      <c r="U4" t="str">
        <f>_xlfn.XLOOKUP(Table1[[#This Row],[Location Name]],'Risk Profiles'!$A$18:$A$37,'Risk Profiles'!$B$18:$B$37)</f>
        <v>Medium</v>
      </c>
      <c r="V4" t="str">
        <f>_xlfn.XLOOKUP(Table1[[#This Row],[Location Name]],'Risk Profiles'!$A$18:$A$37,'Risk Profiles'!$C$18:$C$37)</f>
        <v>Stat Var (1.80%)</v>
      </c>
      <c r="W4" t="str">
        <f>_xlfn.XLOOKUP(Table1[[#This Row],[Location Name]],'Risk Profiles'!$A$18:$A$37,'Risk Profiles'!$D$18:$D$37)</f>
        <v>Medium</v>
      </c>
      <c r="X4" t="str">
        <f>_xlfn.XLOOKUP(Table1[[#This Row],[Location Name]],'Risk Profiles'!$A$18:$A$37,'Risk Profiles'!$E$18:$E$37)</f>
        <v>Cash O/S (0.04%), Discounts (6.57%)</v>
      </c>
      <c r="Y4" t="s">
        <v>147</v>
      </c>
      <c r="Z4" t="s">
        <v>35</v>
      </c>
      <c r="AA4" s="2">
        <f>_xlfn.XLOOKUP(A4,Table3[Location],Table3[Date Scheduled])</f>
        <v>46163</v>
      </c>
      <c r="AB4" t="s">
        <v>136</v>
      </c>
      <c r="AC4" t="s">
        <v>148</v>
      </c>
      <c r="AE4" s="102">
        <v>46128</v>
      </c>
      <c r="AF4" s="24" t="s">
        <v>47</v>
      </c>
      <c r="AG4" s="129">
        <v>46247</v>
      </c>
      <c r="AH4" t="s">
        <v>35</v>
      </c>
      <c r="AI4" t="s">
        <v>35</v>
      </c>
      <c r="AJ4" t="s">
        <v>35</v>
      </c>
      <c r="AK4" s="137">
        <f ca="1">IFERROR(INDEX('Scheduling Setup'!$L:$L,MATCH($A4,'Scheduling Setup'!$A:$A,0)),"")</f>
        <v>46260</v>
      </c>
      <c r="AW4" s="56"/>
      <c r="AX4" s="56"/>
      <c r="AY4" s="56"/>
      <c r="BA4" s="19">
        <v>24471</v>
      </c>
      <c r="BB4" s="19" t="str">
        <f t="shared" si="0"/>
        <v>Robert Spencer</v>
      </c>
      <c r="BC4" s="19" t="str">
        <f t="shared" si="1"/>
        <v>Mystykal Abbey</v>
      </c>
      <c r="BD4" s="19" t="str">
        <f t="shared" si="2"/>
        <v>Mystikal</v>
      </c>
      <c r="BE4" s="10"/>
      <c r="BF4" s="20">
        <v>46086</v>
      </c>
      <c r="BG4" s="29"/>
      <c r="BH4" s="49">
        <f>_xlfn.XLOOKUP(Table3[[#This Row],[Location]],Table4[STORE '#],Table4[DATE RGR])</f>
        <v>46309</v>
      </c>
      <c r="BI4" s="50" t="str">
        <f>_xlfn.XLOOKUP(Table3[[#This Row],[Location]],Table1[Location Name],Table1[Weekly Inventory Count Day])</f>
        <v>Thursday</v>
      </c>
      <c r="BJ4" s="10" t="str">
        <f>_xlfn.XLOOKUP(Table3[[#This Row],[Location]],Table1[Location Name],Table1[FOB Risk Profile])</f>
        <v>High</v>
      </c>
      <c r="BK4" s="59"/>
      <c r="BL4" s="56"/>
      <c r="BM4" s="102">
        <v>46128</v>
      </c>
      <c r="BN4" s="102"/>
    </row>
    <row r="5" spans="1:66" ht="16" customHeight="1">
      <c r="A5" s="3">
        <v>5985</v>
      </c>
      <c r="B5" s="3" t="s">
        <v>149</v>
      </c>
      <c r="C5" s="104" t="s">
        <v>150</v>
      </c>
      <c r="D5" s="104" t="s">
        <v>151</v>
      </c>
      <c r="E5" s="3" t="s">
        <v>129</v>
      </c>
      <c r="F5" t="s">
        <v>152</v>
      </c>
      <c r="H5" t="str">
        <f>LEFT(Table1[[#This Row],[Supervisor]], SEARCH(" ", Table1[[#This Row],[Supervisor]]) - 1) &amp; "@" &amp; Table1[[#This Row],[Email Domain]]</f>
        <v>Ashley@mcdok.com</v>
      </c>
      <c r="I5" t="s">
        <v>153</v>
      </c>
      <c r="J5" t="str">
        <f>LEFT(Table1[[#This Row],[GM]], SEARCH(" ", Table1[[#This Row],[GM]]) - 1) &amp; "@" &amp; Table1[[#This Row],[Email Domain]]</f>
        <v>Stacey@mcdok.com</v>
      </c>
      <c r="K5" t="s">
        <v>132</v>
      </c>
      <c r="L5" t="s">
        <v>154</v>
      </c>
      <c r="M5" t="str">
        <f>"mcdok.mdp+"&amp;Table1[[#This Row],[Location Name]]&amp;"@gmail.com"</f>
        <v>mcdok.mdp+5985@gmail.com</v>
      </c>
      <c r="N5" s="118" t="str">
        <f>"Mcdok.mdp"&amp;Table1[[#This Row],[Location Name]]</f>
        <v>Mcdok.mdp5985</v>
      </c>
      <c r="O5" s="131" t="s">
        <v>155</v>
      </c>
      <c r="P5" t="s">
        <v>156</v>
      </c>
      <c r="Q5" t="s">
        <v>35</v>
      </c>
      <c r="R5" t="s">
        <v>23</v>
      </c>
      <c r="S5" s="2"/>
      <c r="T5" t="s">
        <v>136</v>
      </c>
      <c r="U5" t="str">
        <f>_xlfn.XLOOKUP(Table1[[#This Row],[Location Name]],'Risk Profiles'!$A$18:$A$37,'Risk Profiles'!$B$18:$B$37)</f>
        <v>Low</v>
      </c>
      <c r="V5" t="str">
        <f>_xlfn.XLOOKUP(Table1[[#This Row],[Location Name]],'Risk Profiles'!$A$18:$A$37,'Risk Profiles'!$C$18:$C$37)</f>
        <v>Within Normal range</v>
      </c>
      <c r="W5" t="str">
        <f>_xlfn.XLOOKUP(Table1[[#This Row],[Location Name]],'Risk Profiles'!$A$18:$A$37,'Risk Profiles'!$D$18:$D$37)</f>
        <v>Low</v>
      </c>
      <c r="X5" t="str">
        <f>_xlfn.XLOOKUP(Table1[[#This Row],[Location Name]],'Risk Profiles'!$A$18:$A$37,'Risk Profiles'!$E$18:$E$37)</f>
        <v>Within Normal range</v>
      </c>
      <c r="Y5" t="s">
        <v>157</v>
      </c>
      <c r="Z5" t="s">
        <v>35</v>
      </c>
      <c r="AA5" s="2">
        <f>_xlfn.XLOOKUP(A5,Table3[Location],Table3[Date Scheduled])</f>
        <v>46116</v>
      </c>
      <c r="AB5" t="s">
        <v>136</v>
      </c>
      <c r="AC5" t="s">
        <v>148</v>
      </c>
      <c r="AD5" t="s">
        <v>139</v>
      </c>
      <c r="AE5" s="102">
        <v>46128</v>
      </c>
      <c r="AF5" s="24" t="s">
        <v>53</v>
      </c>
      <c r="AG5" s="129">
        <v>46251</v>
      </c>
      <c r="AH5" t="s">
        <v>35</v>
      </c>
      <c r="AI5" t="s">
        <v>35</v>
      </c>
      <c r="AJ5" t="s">
        <v>35</v>
      </c>
      <c r="AK5" s="137">
        <f ca="1">IFERROR(INDEX('Scheduling Setup'!$L:$L,MATCH($A5,'Scheduling Setup'!$A:$A,0)),"")</f>
        <v>46260</v>
      </c>
      <c r="AV5" s="57"/>
      <c r="AW5" s="56"/>
      <c r="AX5" s="57"/>
      <c r="BA5" s="19">
        <v>43380</v>
      </c>
      <c r="BB5" s="19" t="str">
        <f t="shared" si="0"/>
        <v>Ashley Podroza</v>
      </c>
      <c r="BC5" s="19" t="str">
        <f t="shared" si="1"/>
        <v>Zukarr Eaves</v>
      </c>
      <c r="BD5" s="19" t="str">
        <f t="shared" si="2"/>
        <v>Zukaar</v>
      </c>
      <c r="BE5" s="10"/>
      <c r="BF5" s="20">
        <v>46088</v>
      </c>
      <c r="BG5" s="29"/>
      <c r="BH5" s="49">
        <f>_xlfn.XLOOKUP(Table3[[#This Row],[Location]],Table4[STORE '#],Table4[DATE RGR])</f>
        <v>46225</v>
      </c>
      <c r="BI5" s="50" t="str">
        <f>_xlfn.XLOOKUP(Table3[[#This Row],[Location]],Table1[Location Name],Table1[Weekly Inventory Count Day])</f>
        <v>Saturday</v>
      </c>
      <c r="BJ5" s="10" t="str">
        <f>_xlfn.XLOOKUP(Table3[[#This Row],[Location]],Table1[Location Name],Table1[FOB Risk Profile])</f>
        <v>Medium</v>
      </c>
      <c r="BK5" s="59"/>
      <c r="BL5" s="56"/>
      <c r="BM5" s="102">
        <v>46128</v>
      </c>
      <c r="BN5" s="102"/>
    </row>
    <row r="6" spans="1:66" ht="16" customHeight="1">
      <c r="A6" s="117">
        <v>6972</v>
      </c>
      <c r="B6" s="3" t="s">
        <v>128</v>
      </c>
      <c r="C6" s="3" t="str">
        <f>LEFT(Table1[[#This Row],[Owner/Operator]], SEARCH(" ", Table1[[#This Row],[Owner/Operator]]) - 1) &amp; "@" &amp; Table1[[#This Row],[Email Domain]]</f>
        <v>Ryan@mcdok.com</v>
      </c>
      <c r="D6" s="3"/>
      <c r="E6" s="3" t="s">
        <v>129</v>
      </c>
      <c r="F6" t="s">
        <v>130</v>
      </c>
      <c r="H6" t="str">
        <f>LEFT(Table1[[#This Row],[Supervisor]], SEARCH(" ", Table1[[#This Row],[Supervisor]]) - 1) &amp; "@" &amp; Table1[[#This Row],[Email Domain]]</f>
        <v>Robert@mcdok.com</v>
      </c>
      <c r="I6" t="s">
        <v>158</v>
      </c>
      <c r="J6" t="str">
        <f>LEFT(Table1[[#This Row],[GM]], SEARCH(" ", Table1[[#This Row],[GM]]) - 1) &amp; "@" &amp; Table1[[#This Row],[Email Domain]]</f>
        <v>Nick@mcdok.com</v>
      </c>
      <c r="K6" t="s">
        <v>132</v>
      </c>
      <c r="L6" t="s">
        <v>159</v>
      </c>
      <c r="M6" t="str">
        <f>"mcdok.mdp+"&amp;Table1[[#This Row],[Location Name]]&amp;"@gmail.com"</f>
        <v>mcdok.mdp+6972@gmail.com</v>
      </c>
      <c r="N6" s="116" t="str">
        <f>"Mcdok.mdp"&amp;Table1[[#This Row],[Location Name]]</f>
        <v>Mcdok.mdp6972</v>
      </c>
      <c r="O6" s="131" t="s">
        <v>160</v>
      </c>
      <c r="P6" t="s">
        <v>161</v>
      </c>
      <c r="Q6" t="s">
        <v>35</v>
      </c>
      <c r="R6" t="s">
        <v>23</v>
      </c>
      <c r="S6" s="2"/>
      <c r="T6" t="s">
        <v>146</v>
      </c>
      <c r="U6" t="str">
        <f>_xlfn.XLOOKUP(Table1[[#This Row],[Location Name]],'Risk Profiles'!$A$18:$A$37,'Risk Profiles'!$B$18:$B$37)</f>
        <v>Medium</v>
      </c>
      <c r="V6" t="str">
        <f>_xlfn.XLOOKUP(Table1[[#This Row],[Location Name]],'Risk Profiles'!$A$18:$A$37,'Risk Profiles'!$C$18:$C$37)</f>
        <v>Within Normal Range</v>
      </c>
      <c r="W6" t="str">
        <f>_xlfn.XLOOKUP(Table1[[#This Row],[Location Name]],'Risk Profiles'!$A$18:$A$37,'Risk Profiles'!$D$18:$D$37)</f>
        <v>Medium</v>
      </c>
      <c r="X6" t="str">
        <f>_xlfn.XLOOKUP(Table1[[#This Row],[Location Name]],'Risk Profiles'!$A$18:$A$37,'Risk Profiles'!$E$18:$E$37)</f>
        <v>POS Overrings (0.38%)/Excessively High T-Reds</v>
      </c>
      <c r="Y6" t="s">
        <v>162</v>
      </c>
      <c r="Z6" t="s">
        <v>35</v>
      </c>
      <c r="AA6" s="2">
        <f>_xlfn.XLOOKUP(A6,Table3[Location],Table3[Date Scheduled])</f>
        <v>46065</v>
      </c>
      <c r="AB6" t="s">
        <v>136</v>
      </c>
      <c r="AC6" t="s">
        <v>148</v>
      </c>
      <c r="AE6" s="102">
        <v>46128</v>
      </c>
      <c r="AF6" s="24" t="s">
        <v>68</v>
      </c>
      <c r="AG6" s="129">
        <v>46261</v>
      </c>
      <c r="AH6" t="s">
        <v>35</v>
      </c>
      <c r="AI6" t="s">
        <v>35</v>
      </c>
      <c r="AJ6" t="s">
        <v>35</v>
      </c>
      <c r="AK6" s="137">
        <f ca="1">IFERROR(INDEX('Scheduling Setup'!$L:$L,MATCH($A6,'Scheduling Setup'!$A:$A,0)),"")</f>
        <v>46267</v>
      </c>
      <c r="AV6" s="57"/>
      <c r="AW6" s="56"/>
      <c r="AX6" s="57"/>
      <c r="BA6" s="19">
        <v>35064</v>
      </c>
      <c r="BB6" s="19" t="str">
        <f t="shared" si="0"/>
        <v>Steven Vaughn</v>
      </c>
      <c r="BC6" s="19" t="str">
        <f t="shared" si="1"/>
        <v>Lynsey Yahola</v>
      </c>
      <c r="BD6" s="19" t="str">
        <f t="shared" si="2"/>
        <v>Lynsey</v>
      </c>
      <c r="BE6" s="10"/>
      <c r="BF6" s="20">
        <v>46092</v>
      </c>
      <c r="BG6" s="29"/>
      <c r="BH6" s="49">
        <f>_xlfn.XLOOKUP(Table3[[#This Row],[Location]],Table4[STORE '#],Table4[DATE RGR])</f>
        <v>46211</v>
      </c>
      <c r="BI6" s="50" t="str">
        <f>_xlfn.XLOOKUP(Table3[[#This Row],[Location]],Table1[Location Name],Table1[Weekly Inventory Count Day])</f>
        <v>Wednesday</v>
      </c>
      <c r="BJ6" s="10" t="str">
        <f>_xlfn.XLOOKUP(Table3[[#This Row],[Location]],Table1[Location Name],Table1[FOB Risk Profile])</f>
        <v>High</v>
      </c>
      <c r="BK6" s="59"/>
      <c r="BL6" s="56"/>
      <c r="BM6" s="102">
        <v>46128</v>
      </c>
      <c r="BN6" s="102"/>
    </row>
    <row r="7" spans="1:66" ht="16" customHeight="1">
      <c r="A7" s="3">
        <v>10422</v>
      </c>
      <c r="B7" s="3" t="s">
        <v>149</v>
      </c>
      <c r="C7" s="104" t="s">
        <v>150</v>
      </c>
      <c r="D7" s="104" t="s">
        <v>151</v>
      </c>
      <c r="E7" s="3" t="s">
        <v>129</v>
      </c>
      <c r="F7" t="s">
        <v>152</v>
      </c>
      <c r="H7" t="str">
        <f>LEFT(Table1[[#This Row],[Supervisor]], SEARCH(" ", Table1[[#This Row],[Supervisor]]) - 1) &amp; "@" &amp; Table1[[#This Row],[Email Domain]]</f>
        <v>Ashley@mcdok.com</v>
      </c>
      <c r="I7" t="s">
        <v>163</v>
      </c>
      <c r="J7" t="str">
        <f>LEFT(Table1[[#This Row],[GM]], SEARCH(" ", Table1[[#This Row],[GM]]) - 1) &amp; "@" &amp; Table1[[#This Row],[Email Domain]]</f>
        <v>Ashleyh@mcdok.com</v>
      </c>
      <c r="K7" t="s">
        <v>132</v>
      </c>
      <c r="L7" t="s">
        <v>164</v>
      </c>
      <c r="M7" t="str">
        <f>"mcdok.mdp+"&amp;Table1[[#This Row],[Location Name]]&amp;"@gmail.com"</f>
        <v>mcdok.mdp+10422@gmail.com</v>
      </c>
      <c r="N7" s="116" t="str">
        <f>"Mcdok.mdp"&amp;Table1[[#This Row],[Location Name]]</f>
        <v>Mcdok.mdp10422</v>
      </c>
      <c r="O7" s="131" t="s">
        <v>165</v>
      </c>
      <c r="P7" t="s">
        <v>166</v>
      </c>
      <c r="Q7" t="s">
        <v>35</v>
      </c>
      <c r="R7" t="s">
        <v>23</v>
      </c>
      <c r="S7" s="2"/>
      <c r="T7" t="s">
        <v>167</v>
      </c>
      <c r="U7" t="str">
        <f>_xlfn.XLOOKUP(Table1[[#This Row],[Location Name]],'Risk Profiles'!$A$18:$A$37,'Risk Profiles'!$B$18:$B$37)</f>
        <v>High</v>
      </c>
      <c r="V7" t="str">
        <f>_xlfn.XLOOKUP(Table1[[#This Row],[Location Name]],'Risk Profiles'!$A$18:$A$37,'Risk Profiles'!$C$18:$C$37)</f>
        <v>High Stat Var (2.16%)/Coordinated Register Theft</v>
      </c>
      <c r="W7" t="str">
        <f>_xlfn.XLOOKUP(Table1[[#This Row],[Location Name]],'Risk Profiles'!$A$18:$A$37,'Risk Profiles'!$D$18:$D$37)</f>
        <v>High</v>
      </c>
      <c r="X7" t="str">
        <f>_xlfn.XLOOKUP(Table1[[#This Row],[Location Name]],'Risk Profiles'!$A$18:$A$37,'Risk Profiles'!$E$18:$E$37)</f>
        <v>POS Overrings (0.47%)</v>
      </c>
      <c r="Y7" t="s">
        <v>37</v>
      </c>
      <c r="Z7" t="s">
        <v>35</v>
      </c>
      <c r="AA7" s="2">
        <f>_xlfn.XLOOKUP(A7,Table3[Location],Table3[Date Scheduled])</f>
        <v>46095</v>
      </c>
      <c r="AB7" t="s">
        <v>138</v>
      </c>
      <c r="AC7" t="s">
        <v>139</v>
      </c>
      <c r="AE7" s="102">
        <v>46128</v>
      </c>
      <c r="AF7" s="24" t="s">
        <v>30</v>
      </c>
      <c r="AG7" s="129">
        <v>46240</v>
      </c>
      <c r="AH7" t="s">
        <v>35</v>
      </c>
      <c r="AI7" t="s">
        <v>35</v>
      </c>
      <c r="AJ7" t="s">
        <v>35</v>
      </c>
      <c r="AK7" s="137">
        <f ca="1">IFERROR(INDEX('Scheduling Setup'!$L:$L,MATCH($A7,'Scheduling Setup'!$A:$A,0)),"")</f>
        <v>46246</v>
      </c>
      <c r="AV7" s="57"/>
      <c r="AW7" s="56"/>
      <c r="AX7" s="57"/>
      <c r="BA7" s="19">
        <v>10422</v>
      </c>
      <c r="BB7" s="19" t="str">
        <f t="shared" si="0"/>
        <v>Ashley Podroza</v>
      </c>
      <c r="BC7" s="19" t="str">
        <f t="shared" si="1"/>
        <v>Ashleyh Hegwer</v>
      </c>
      <c r="BD7" s="19" t="str">
        <f t="shared" si="2"/>
        <v>Ashley</v>
      </c>
      <c r="BE7" s="10"/>
      <c r="BF7" s="20">
        <v>46095</v>
      </c>
      <c r="BG7" s="29"/>
      <c r="BH7" s="49">
        <f>_xlfn.XLOOKUP(Table3[[#This Row],[Location]],Table4[STORE '#],Table4[DATE RGR])</f>
        <v>46051</v>
      </c>
      <c r="BI7" s="50" t="str">
        <f>_xlfn.XLOOKUP(Table3[[#This Row],[Location]],Table1[Location Name],Table1[Weekly Inventory Count Day])</f>
        <v>Saturday</v>
      </c>
      <c r="BJ7" s="10" t="str">
        <f>_xlfn.XLOOKUP(Table3[[#This Row],[Location]],Table1[Location Name],Table1[FOB Risk Profile])</f>
        <v>High</v>
      </c>
      <c r="BK7" s="59"/>
      <c r="BL7" s="56"/>
      <c r="BM7" s="102">
        <v>46128</v>
      </c>
      <c r="BN7" s="102"/>
    </row>
    <row r="8" spans="1:66" ht="16" customHeight="1">
      <c r="A8" s="3">
        <v>10915</v>
      </c>
      <c r="B8" s="3" t="s">
        <v>128</v>
      </c>
      <c r="C8" s="3" t="str">
        <f>LEFT(Table1[[#This Row],[Owner/Operator]], SEARCH(" ", Table1[[#This Row],[Owner/Operator]]) - 1) &amp; "@" &amp; Table1[[#This Row],[Email Domain]]</f>
        <v>Ryan@mcdok.com</v>
      </c>
      <c r="D8" s="3"/>
      <c r="E8" s="3" t="s">
        <v>129</v>
      </c>
      <c r="F8" t="s">
        <v>168</v>
      </c>
      <c r="H8" t="str">
        <f>LEFT(Table1[[#This Row],[Supervisor]], SEARCH(" ", Table1[[#This Row],[Supervisor]]) - 1) &amp; "@" &amp; Table1[[#This Row],[Email Domain]]</f>
        <v>Steven@mcdok.com</v>
      </c>
      <c r="I8" t="s">
        <v>169</v>
      </c>
      <c r="J8" t="str">
        <f>LEFT(Table1[[#This Row],[GM]], SEARCH(" ", Table1[[#This Row],[GM]]) - 1) &amp; "@" &amp; Table1[[#This Row],[Email Domain]]</f>
        <v>Caleb@mcdok.com</v>
      </c>
      <c r="K8" t="s">
        <v>132</v>
      </c>
      <c r="L8" t="s">
        <v>170</v>
      </c>
      <c r="M8" t="str">
        <f>"mcdok.mdp+"&amp;Table1[[#This Row],[Location Name]]&amp;"@gmail.com"</f>
        <v>mcdok.mdp+10915@gmail.com</v>
      </c>
      <c r="N8" s="116" t="str">
        <f>"Mcdok.mdp"&amp;Table1[[#This Row],[Location Name]]</f>
        <v>Mcdok.mdp10915</v>
      </c>
      <c r="O8" s="131" t="s">
        <v>171</v>
      </c>
      <c r="P8" t="s">
        <v>172</v>
      </c>
      <c r="Q8" t="s">
        <v>35</v>
      </c>
      <c r="R8" t="s">
        <v>23</v>
      </c>
      <c r="S8" s="2"/>
      <c r="T8" t="s">
        <v>138</v>
      </c>
      <c r="U8" t="str">
        <f>_xlfn.XLOOKUP(Table1[[#This Row],[Location Name]],'Risk Profiles'!$A$18:$A$37,'Risk Profiles'!$B$18:$B$37)</f>
        <v>Medium</v>
      </c>
      <c r="V8" t="str">
        <f>_xlfn.XLOOKUP(Table1[[#This Row],[Location Name]],'Risk Profiles'!$A$18:$A$37,'Risk Profiles'!$C$18:$C$37)</f>
        <v>High Waste (1.06%)</v>
      </c>
      <c r="W8" t="str">
        <f>_xlfn.XLOOKUP(Table1[[#This Row],[Location Name]],'Risk Profiles'!$A$18:$A$37,'Risk Profiles'!$D$18:$D$37)</f>
        <v>High</v>
      </c>
      <c r="X8" t="str">
        <f>_xlfn.XLOOKUP(Table1[[#This Row],[Location Name]],'Risk Profiles'!$A$18:$A$37,'Risk Profiles'!$E$18:$E$37)</f>
        <v>T-Red After (0.45%), Discounts (6.55%)</v>
      </c>
      <c r="Y8" t="s">
        <v>173</v>
      </c>
      <c r="Z8" t="s">
        <v>35</v>
      </c>
      <c r="AA8" s="2">
        <f>_xlfn.XLOOKUP(A8,Table3[Location],Table3[Date Scheduled])</f>
        <v>46148</v>
      </c>
      <c r="AB8" t="s">
        <v>146</v>
      </c>
      <c r="AC8" t="s">
        <v>174</v>
      </c>
      <c r="AE8" s="102">
        <v>46129</v>
      </c>
      <c r="AF8" s="24" t="s">
        <v>58</v>
      </c>
      <c r="AG8" s="129">
        <v>46252</v>
      </c>
      <c r="AH8" t="s">
        <v>35</v>
      </c>
      <c r="AI8" t="s">
        <v>35</v>
      </c>
      <c r="AJ8" t="s">
        <v>35</v>
      </c>
      <c r="AK8" s="137">
        <f ca="1">IFERROR(INDEX('Scheduling Setup'!$L:$L,MATCH($A8,'Scheduling Setup'!$A:$A,0)),"")</f>
        <v>46260</v>
      </c>
      <c r="AV8" s="57"/>
      <c r="AW8" s="56"/>
      <c r="AX8" s="57"/>
      <c r="BA8" s="19">
        <v>29760</v>
      </c>
      <c r="BB8" s="19" t="str">
        <f t="shared" si="0"/>
        <v>Krystiana Langford</v>
      </c>
      <c r="BC8" s="19" t="str">
        <f t="shared" si="1"/>
        <v>Heather Danforth</v>
      </c>
      <c r="BD8" s="19" t="str">
        <f t="shared" si="2"/>
        <v>Magi</v>
      </c>
      <c r="BE8" s="10"/>
      <c r="BF8" s="20">
        <v>46100</v>
      </c>
      <c r="BG8" s="29"/>
      <c r="BH8" s="49">
        <f>_xlfn.XLOOKUP(Table3[[#This Row],[Location]],Table4[STORE '#],Table4[DATE RGR])</f>
        <v>46323</v>
      </c>
      <c r="BI8" s="50" t="str">
        <f>_xlfn.XLOOKUP(Table3[[#This Row],[Location]],Table1[Location Name],Table1[Weekly Inventory Count Day])</f>
        <v>Thursday</v>
      </c>
      <c r="BJ8" s="10" t="str">
        <f>_xlfn.XLOOKUP(Table3[[#This Row],[Location]],Table1[Location Name],Table1[FOB Risk Profile])</f>
        <v>Low</v>
      </c>
      <c r="BK8" s="59"/>
      <c r="BL8" s="56"/>
      <c r="BM8" s="102">
        <v>46129</v>
      </c>
      <c r="BN8" s="102"/>
    </row>
    <row r="9" spans="1:66" ht="16" customHeight="1">
      <c r="A9" s="3">
        <v>11657</v>
      </c>
      <c r="B9" s="3" t="s">
        <v>140</v>
      </c>
      <c r="C9" s="3" t="str">
        <f>LEFT(Table1[[#This Row],[Owner/Operator]], SEARCH(" ", Table1[[#This Row],[Owner/Operator]]) - 1) &amp; "@" &amp; Table1[[#This Row],[Email Domain]]</f>
        <v>Gary@mcdok.com</v>
      </c>
      <c r="D9" s="3"/>
      <c r="E9" s="3" t="s">
        <v>129</v>
      </c>
      <c r="F9" t="s">
        <v>175</v>
      </c>
      <c r="H9" t="str">
        <f>LEFT(Table1[[#This Row],[Supervisor]], SEARCH(" ", Table1[[#This Row],[Supervisor]]) - 1) &amp; "@" &amp; Table1[[#This Row],[Email Domain]]</f>
        <v>Amanda@mcdok.com</v>
      </c>
      <c r="I9" t="s">
        <v>176</v>
      </c>
      <c r="J9" t="str">
        <f>LEFT(Table1[[#This Row],[GM]], SEARCH(" ", Table1[[#This Row],[GM]]) - 1) &amp; "@" &amp; Table1[[#This Row],[Email Domain]]</f>
        <v>Jessie@mcdok.com</v>
      </c>
      <c r="K9" t="s">
        <v>132</v>
      </c>
      <c r="L9" t="s">
        <v>177</v>
      </c>
      <c r="M9" t="str">
        <f>"mcdok.mdp+"&amp;Table1[[#This Row],[Location Name]]&amp;"@gmail.com"</f>
        <v>mcdok.mdp+11657@gmail.com</v>
      </c>
      <c r="N9" s="116" t="str">
        <f>"Mcdok.mdp"&amp;Table1[[#This Row],[Location Name]]</f>
        <v>Mcdok.mdp11657</v>
      </c>
      <c r="O9" s="131" t="s">
        <v>178</v>
      </c>
      <c r="P9" t="s">
        <v>179</v>
      </c>
      <c r="Q9" t="s">
        <v>35</v>
      </c>
      <c r="R9" t="s">
        <v>23</v>
      </c>
      <c r="S9" s="2"/>
      <c r="T9" t="s">
        <v>146</v>
      </c>
      <c r="U9" t="str">
        <f>_xlfn.XLOOKUP(Table1[[#This Row],[Location Name]],'Risk Profiles'!$A$18:$A$37,'Risk Profiles'!$B$18:$B$37)</f>
        <v>Medium</v>
      </c>
      <c r="V9" t="str">
        <f>_xlfn.XLOOKUP(Table1[[#This Row],[Location Name]],'Risk Profiles'!$A$18:$A$37,'Risk Profiles'!$C$18:$C$37)</f>
        <v>High Waste (1.29%)</v>
      </c>
      <c r="W9" t="str">
        <f>_xlfn.XLOOKUP(Table1[[#This Row],[Location Name]],'Risk Profiles'!$A$18:$A$37,'Risk Profiles'!$D$18:$D$37)</f>
        <v>Medium</v>
      </c>
      <c r="X9" t="str">
        <f>_xlfn.XLOOKUP(Table1[[#This Row],[Location Name]],'Risk Profiles'!$A$18:$A$37,'Risk Profiles'!$E$18:$E$37)</f>
        <v>Within Normal range</v>
      </c>
      <c r="Y9" t="s">
        <v>180</v>
      </c>
      <c r="Z9" t="s">
        <v>35</v>
      </c>
      <c r="AA9" s="2">
        <f>_xlfn.XLOOKUP(A9,Table3[Location],Table3[Date Scheduled])</f>
        <v>46149</v>
      </c>
      <c r="AB9" t="s">
        <v>136</v>
      </c>
      <c r="AC9" t="s">
        <v>148</v>
      </c>
      <c r="AE9" s="102">
        <v>46129</v>
      </c>
      <c r="AF9" s="24" t="s">
        <v>66</v>
      </c>
      <c r="AG9" s="129">
        <v>46260</v>
      </c>
      <c r="AH9" t="s">
        <v>35</v>
      </c>
      <c r="AI9" t="s">
        <v>35</v>
      </c>
      <c r="AJ9" t="s">
        <v>35</v>
      </c>
      <c r="AK9" s="137">
        <f ca="1">IFERROR(INDEX('Scheduling Setup'!$L:$L,MATCH($A9,'Scheduling Setup'!$A:$A,0)),"")</f>
        <v>46267</v>
      </c>
      <c r="AV9" s="57"/>
      <c r="AW9" s="56"/>
      <c r="AX9" s="57"/>
      <c r="BA9" s="19">
        <v>5985</v>
      </c>
      <c r="BB9" s="19" t="str">
        <f t="shared" si="0"/>
        <v>Ashley Podroza</v>
      </c>
      <c r="BC9" s="19" t="str">
        <f t="shared" si="1"/>
        <v>Stacey Hyatt</v>
      </c>
      <c r="BD9" s="19" t="str">
        <f t="shared" si="2"/>
        <v>Scauti/Chas</v>
      </c>
      <c r="BE9" s="10" t="s">
        <v>181</v>
      </c>
      <c r="BF9" s="20">
        <v>46116</v>
      </c>
      <c r="BG9" s="29">
        <v>0.33333333333333331</v>
      </c>
      <c r="BH9" s="49">
        <f>_xlfn.XLOOKUP(Table3[[#This Row],[Location]],Table4[STORE '#],Table4[DATE RGR])</f>
        <v>46092</v>
      </c>
      <c r="BI9" s="50" t="str">
        <f>_xlfn.XLOOKUP(Table3[[#This Row],[Location]],Table1[Location Name],Table1[Weekly Inventory Count Day])</f>
        <v>Tuesday</v>
      </c>
      <c r="BJ9" s="10" t="str">
        <f>_xlfn.XLOOKUP(Table3[[#This Row],[Location]],Table1[Location Name],Table1[FOB Risk Profile])</f>
        <v>Low</v>
      </c>
      <c r="BK9" s="59" t="s">
        <v>182</v>
      </c>
      <c r="BL9" t="s">
        <v>183</v>
      </c>
      <c r="BM9" s="102">
        <v>46129</v>
      </c>
      <c r="BN9" s="102"/>
    </row>
    <row r="10" spans="1:66" ht="16" customHeight="1">
      <c r="A10" s="3">
        <v>13113</v>
      </c>
      <c r="B10" s="3" t="s">
        <v>149</v>
      </c>
      <c r="C10" s="104" t="s">
        <v>150</v>
      </c>
      <c r="D10" s="104" t="s">
        <v>151</v>
      </c>
      <c r="E10" s="3" t="s">
        <v>129</v>
      </c>
      <c r="F10" t="s">
        <v>152</v>
      </c>
      <c r="H10" t="str">
        <f>LEFT(Table1[[#This Row],[Supervisor]], SEARCH(" ", Table1[[#This Row],[Supervisor]]) - 1) &amp; "@" &amp; Table1[[#This Row],[Email Domain]]</f>
        <v>Ashley@mcdok.com</v>
      </c>
      <c r="I10" t="s">
        <v>184</v>
      </c>
      <c r="J10" t="str">
        <f>LEFT(Table1[[#This Row],[GM]], SEARCH(" ", Table1[[#This Row],[GM]]) - 1) &amp; "@" &amp; Table1[[#This Row],[Email Domain]]</f>
        <v>Chris@mcdok.com</v>
      </c>
      <c r="K10" t="s">
        <v>132</v>
      </c>
      <c r="L10" t="s">
        <v>185</v>
      </c>
      <c r="M10" t="str">
        <f>"mcdok.mdp+"&amp;Table1[[#This Row],[Location Name]]&amp;"@gmail.com"</f>
        <v>mcdok.mdp+13113@gmail.com</v>
      </c>
      <c r="N10" s="116" t="str">
        <f>"Mcdok.mdp"&amp;Table1[[#This Row],[Location Name]]</f>
        <v>Mcdok.mdp13113</v>
      </c>
      <c r="O10" s="131" t="s">
        <v>186</v>
      </c>
      <c r="P10" t="s">
        <v>187</v>
      </c>
      <c r="Q10" t="s">
        <v>35</v>
      </c>
      <c r="R10" t="s">
        <v>23</v>
      </c>
      <c r="S10" s="2"/>
      <c r="T10" t="s">
        <v>136</v>
      </c>
      <c r="U10" t="str">
        <f>_xlfn.XLOOKUP(Table1[[#This Row],[Location Name]],'Risk Profiles'!$A$18:$A$37,'Risk Profiles'!$B$18:$B$37)</f>
        <v>High</v>
      </c>
      <c r="V10" t="str">
        <f>_xlfn.XLOOKUP(Table1[[#This Row],[Location Name]],'Risk Profiles'!$A$18:$A$37,'Risk Profiles'!$C$18:$C$37)</f>
        <v>High FOB% (5.58%), High Stat Var (2.40%)</v>
      </c>
      <c r="W10" t="str">
        <f>_xlfn.XLOOKUP(Table1[[#This Row],[Location Name]],'Risk Profiles'!$A$18:$A$37,'Risk Profiles'!$D$18:$D$37)</f>
        <v>Medium</v>
      </c>
      <c r="X10" t="str">
        <f>_xlfn.XLOOKUP(Table1[[#This Row],[Location Name]],'Risk Profiles'!$A$18:$A$37,'Risk Profiles'!$E$18:$E$37)</f>
        <v>POS Overrings (0.47%)</v>
      </c>
      <c r="Y10" t="s">
        <v>188</v>
      </c>
      <c r="Z10" t="s">
        <v>35</v>
      </c>
      <c r="AA10" s="2">
        <f>_xlfn.XLOOKUP(A10,Table3[Location],Table3[Date Scheduled])</f>
        <v>46126</v>
      </c>
      <c r="AB10" t="s">
        <v>138</v>
      </c>
      <c r="AC10" t="s">
        <v>139</v>
      </c>
      <c r="AE10" s="102">
        <v>46129</v>
      </c>
      <c r="AF10" s="24" t="s">
        <v>80</v>
      </c>
      <c r="AG10" s="129">
        <v>46260</v>
      </c>
      <c r="AH10" t="s">
        <v>35</v>
      </c>
      <c r="AI10" t="s">
        <v>35</v>
      </c>
      <c r="AJ10" t="s">
        <v>35</v>
      </c>
      <c r="AK10" s="137">
        <f ca="1">IFERROR(INDEX('Scheduling Setup'!$L:$L,MATCH($A10,'Scheduling Setup'!$A:$A,0)),"")</f>
        <v>46274</v>
      </c>
      <c r="AV10" s="57"/>
      <c r="AW10" s="56"/>
      <c r="AX10" s="56"/>
      <c r="BA10" s="19">
        <v>32525</v>
      </c>
      <c r="BB10" s="19" t="str">
        <f t="shared" si="0"/>
        <v>Robert Spencer</v>
      </c>
      <c r="BC10" s="19" t="str">
        <f t="shared" si="1"/>
        <v>Aliyah Richardson</v>
      </c>
      <c r="BD10" s="19" t="str">
        <f t="shared" si="2"/>
        <v>Priscilla</v>
      </c>
      <c r="BE10" s="10" t="s">
        <v>181</v>
      </c>
      <c r="BF10" s="20">
        <v>46121</v>
      </c>
      <c r="BG10" s="29">
        <v>0.33333333333333331</v>
      </c>
      <c r="BH10" s="49">
        <f>_xlfn.XLOOKUP(Table3[[#This Row],[Location]],Table4[STORE '#],Table4[DATE RGR])</f>
        <v>46337</v>
      </c>
      <c r="BI10" s="50" t="str">
        <f>_xlfn.XLOOKUP(Table3[[#This Row],[Location]],Table1[Location Name],Table1[Weekly Inventory Count Day])</f>
        <v>Thursday</v>
      </c>
      <c r="BJ10" s="10" t="str">
        <f>_xlfn.XLOOKUP(Table3[[#This Row],[Location]],Table1[Location Name],Table1[FOB Risk Profile])</f>
        <v>High</v>
      </c>
      <c r="BK10" s="59" t="s">
        <v>182</v>
      </c>
      <c r="BL10" t="s">
        <v>183</v>
      </c>
      <c r="BM10" s="102">
        <v>46129</v>
      </c>
      <c r="BN10" s="102"/>
    </row>
    <row r="11" spans="1:66" ht="16" customHeight="1">
      <c r="A11" s="3">
        <v>18213</v>
      </c>
      <c r="B11" s="3" t="s">
        <v>140</v>
      </c>
      <c r="C11" s="3" t="str">
        <f>LEFT(Table1[[#This Row],[Owner/Operator]], SEARCH(" ", Table1[[#This Row],[Owner/Operator]]) - 1) &amp; "@" &amp; Table1[[#This Row],[Email Domain]]</f>
        <v>Gary@mcdok.com</v>
      </c>
      <c r="D11" s="3"/>
      <c r="E11" s="3" t="s">
        <v>129</v>
      </c>
      <c r="F11" t="s">
        <v>141</v>
      </c>
      <c r="H11" t="str">
        <f>LEFT(Table1[[#This Row],[Supervisor]], SEARCH(" ", Table1[[#This Row],[Supervisor]]) - 1) &amp; "@" &amp; Table1[[#This Row],[Email Domain]]</f>
        <v>Krystiana@mcdok.com</v>
      </c>
      <c r="I11" t="s">
        <v>189</v>
      </c>
      <c r="J11" t="str">
        <f>LEFT(Table1[[#This Row],[GM]], SEARCH(" ", Table1[[#This Row],[GM]]) - 1) &amp; "@" &amp; Table1[[#This Row],[Email Domain]]</f>
        <v>Cora@mcdok.com</v>
      </c>
      <c r="K11" t="s">
        <v>132</v>
      </c>
      <c r="L11" t="s">
        <v>190</v>
      </c>
      <c r="M11" t="str">
        <f>"mcdok.mdp+"&amp;Table1[[#This Row],[Location Name]]&amp;"@gmail.com"</f>
        <v>mcdok.mdp+18213@gmail.com</v>
      </c>
      <c r="N11" s="116" t="str">
        <f>"Mcdok.mdp"&amp;Table1[[#This Row],[Location Name]]</f>
        <v>Mcdok.mdp18213</v>
      </c>
      <c r="O11" s="131" t="s">
        <v>191</v>
      </c>
      <c r="P11" t="s">
        <v>192</v>
      </c>
      <c r="Q11" t="s">
        <v>35</v>
      </c>
      <c r="R11" t="s">
        <v>23</v>
      </c>
      <c r="S11" s="2"/>
      <c r="T11" t="s">
        <v>146</v>
      </c>
      <c r="U11" t="str">
        <f>_xlfn.XLOOKUP(Table1[[#This Row],[Location Name]],'Risk Profiles'!$A$18:$A$37,'Risk Profiles'!$B$18:$B$37)</f>
        <v>Medium</v>
      </c>
      <c r="V11" t="str">
        <f>_xlfn.XLOOKUP(Table1[[#This Row],[Location Name]],'Risk Profiles'!$A$18:$A$37,'Risk Profiles'!$C$18:$C$37)</f>
        <v>High Waste (1.16%)</v>
      </c>
      <c r="W11" t="str">
        <f>_xlfn.XLOOKUP(Table1[[#This Row],[Location Name]],'Risk Profiles'!$A$18:$A$37,'Risk Profiles'!$D$18:$D$37)</f>
        <v>Medium</v>
      </c>
      <c r="X11" t="str">
        <f>_xlfn.XLOOKUP(Table1[[#This Row],[Location Name]],'Risk Profiles'!$A$18:$A$37,'Risk Profiles'!$E$18:$E$37)</f>
        <v>Within Normal range</v>
      </c>
      <c r="Y11" t="s">
        <v>193</v>
      </c>
      <c r="Z11" t="s">
        <v>35</v>
      </c>
      <c r="AA11" s="2">
        <f>_xlfn.XLOOKUP(A11,Table3[Location],Table3[Date Scheduled])</f>
        <v>46177</v>
      </c>
      <c r="AB11" t="s">
        <v>136</v>
      </c>
      <c r="AC11" t="s">
        <v>148</v>
      </c>
      <c r="AE11" s="102">
        <v>46129</v>
      </c>
      <c r="AF11" s="24" t="s">
        <v>50</v>
      </c>
      <c r="AG11" s="130">
        <v>46247</v>
      </c>
      <c r="AH11" t="s">
        <v>35</v>
      </c>
      <c r="AI11" t="s">
        <v>35</v>
      </c>
      <c r="AJ11" t="s">
        <v>35</v>
      </c>
      <c r="AK11" s="130">
        <f ca="1">IFERROR(INDEX('Scheduling Setup'!$L:$L,MATCH($A11,'Scheduling Setup'!$A:$A,0)),"")</f>
        <v>46253</v>
      </c>
      <c r="AV11" s="58"/>
      <c r="BA11" s="19">
        <v>20475</v>
      </c>
      <c r="BB11" s="19" t="str">
        <f t="shared" si="0"/>
        <v>Amanda Estrada</v>
      </c>
      <c r="BC11" s="19" t="str">
        <f t="shared" si="1"/>
        <v>Derek McGirt</v>
      </c>
      <c r="BD11" s="19" t="str">
        <f t="shared" si="2"/>
        <v>Susanna</v>
      </c>
      <c r="BE11" s="10" t="s">
        <v>181</v>
      </c>
      <c r="BF11" s="20">
        <v>46122</v>
      </c>
      <c r="BG11" s="29">
        <v>0.33333333333333331</v>
      </c>
      <c r="BH11" s="49">
        <f>_xlfn.XLOOKUP(Table3[[#This Row],[Location]],Table4[STORE '#],Table4[DATE RGR])</f>
        <v>46107</v>
      </c>
      <c r="BI11" s="50" t="str">
        <f>_xlfn.XLOOKUP(Table3[[#This Row],[Location]],Table1[Location Name],Table1[Weekly Inventory Count Day])</f>
        <v>Thursday</v>
      </c>
      <c r="BJ11" s="10" t="str">
        <f>_xlfn.XLOOKUP(Table3[[#This Row],[Location]],Table1[Location Name],Table1[FOB Risk Profile])</f>
        <v>Low</v>
      </c>
      <c r="BK11" s="59" t="s">
        <v>182</v>
      </c>
      <c r="BL11" t="s">
        <v>183</v>
      </c>
      <c r="BM11" s="102">
        <v>46129</v>
      </c>
      <c r="BN11" s="102"/>
    </row>
    <row r="12" spans="1:66" ht="16" customHeight="1">
      <c r="A12" s="3">
        <v>20475</v>
      </c>
      <c r="B12" s="3" t="s">
        <v>140</v>
      </c>
      <c r="C12" s="3" t="str">
        <f>LEFT(Table1[[#This Row],[Owner/Operator]], SEARCH(" ", Table1[[#This Row],[Owner/Operator]]) - 1) &amp; "@" &amp; Table1[[#This Row],[Email Domain]]</f>
        <v>Gary@mcdok.com</v>
      </c>
      <c r="D12" s="3"/>
      <c r="E12" s="3" t="s">
        <v>129</v>
      </c>
      <c r="F12" t="s">
        <v>175</v>
      </c>
      <c r="H12" t="str">
        <f>LEFT(Table1[[#This Row],[Supervisor]], SEARCH(" ", Table1[[#This Row],[Supervisor]]) - 1) &amp; "@" &amp; Table1[[#This Row],[Email Domain]]</f>
        <v>Amanda@mcdok.com</v>
      </c>
      <c r="I12" t="s">
        <v>194</v>
      </c>
      <c r="J12" t="str">
        <f>LEFT(Table1[[#This Row],[GM]], SEARCH(" ", Table1[[#This Row],[GM]]) - 1) &amp; "@" &amp; Table1[[#This Row],[Email Domain]]</f>
        <v>Derek@mcdok.com</v>
      </c>
      <c r="K12" t="s">
        <v>132</v>
      </c>
      <c r="L12" t="s">
        <v>195</v>
      </c>
      <c r="M12" t="str">
        <f>"mcdok.mdp+"&amp;Table1[[#This Row],[Location Name]]&amp;"@gmail.com"</f>
        <v>mcdok.mdp+20475@gmail.com</v>
      </c>
      <c r="N12" s="116" t="str">
        <f>"Mcdok.mdp"&amp;Table1[[#This Row],[Location Name]]</f>
        <v>Mcdok.mdp20475</v>
      </c>
      <c r="O12" s="131" t="s">
        <v>196</v>
      </c>
      <c r="P12" t="s">
        <v>197</v>
      </c>
      <c r="Q12" t="s">
        <v>35</v>
      </c>
      <c r="R12" t="s">
        <v>23</v>
      </c>
      <c r="S12" s="2"/>
      <c r="T12" t="s">
        <v>146</v>
      </c>
      <c r="U12" t="str">
        <f>_xlfn.XLOOKUP(Table1[[#This Row],[Location Name]],'Risk Profiles'!$A$18:$A$37,'Risk Profiles'!$B$18:$B$37)</f>
        <v>Low</v>
      </c>
      <c r="V12" t="str">
        <f>_xlfn.XLOOKUP(Table1[[#This Row],[Location Name]],'Risk Profiles'!$A$18:$A$37,'Risk Profiles'!$C$18:$C$37)</f>
        <v>Within Normal range</v>
      </c>
      <c r="W12" t="str">
        <f>_xlfn.XLOOKUP(Table1[[#This Row],[Location Name]],'Risk Profiles'!$A$18:$A$37,'Risk Profiles'!$D$18:$D$37)</f>
        <v>Medium</v>
      </c>
      <c r="X12" t="str">
        <f>_xlfn.XLOOKUP(Table1[[#This Row],[Location Name]],'Risk Profiles'!$A$18:$A$37,'Risk Profiles'!$E$18:$E$37)</f>
        <v>T-Red After (0.38%), Discounts (7.40%)</v>
      </c>
      <c r="Y12" t="s">
        <v>198</v>
      </c>
      <c r="Z12" t="s">
        <v>35</v>
      </c>
      <c r="AA12" s="2">
        <f>_xlfn.XLOOKUP(A12,Table3[Location],Table3[Date Scheduled])</f>
        <v>46122</v>
      </c>
      <c r="AB12" t="s">
        <v>136</v>
      </c>
      <c r="AC12" t="s">
        <v>148</v>
      </c>
      <c r="AE12" s="102">
        <v>46129</v>
      </c>
      <c r="AF12" s="24" t="s">
        <v>19</v>
      </c>
      <c r="AG12" s="129">
        <v>46239</v>
      </c>
      <c r="AH12" t="s">
        <v>35</v>
      </c>
      <c r="AI12" t="s">
        <v>35</v>
      </c>
      <c r="AJ12" t="s">
        <v>35</v>
      </c>
      <c r="AK12" s="137">
        <f ca="1">IFERROR(INDEX('Scheduling Setup'!$L:$L,MATCH($A12,'Scheduling Setup'!$A:$A,0)),"")</f>
        <v>46246</v>
      </c>
      <c r="AV12" s="58"/>
      <c r="BA12" s="19">
        <v>13113</v>
      </c>
      <c r="BB12" s="19" t="str">
        <f t="shared" si="0"/>
        <v>Ashley Podroza</v>
      </c>
      <c r="BC12" s="19" t="str">
        <f t="shared" si="1"/>
        <v>Chris Abbey</v>
      </c>
      <c r="BD12" s="19" t="str">
        <f t="shared" si="2"/>
        <v>Josh</v>
      </c>
      <c r="BE12" s="10" t="s">
        <v>181</v>
      </c>
      <c r="BF12" s="20">
        <v>46126</v>
      </c>
      <c r="BG12" s="29">
        <v>0.33333333333333331</v>
      </c>
      <c r="BH12" s="49">
        <f>_xlfn.XLOOKUP(Table3[[#This Row],[Location]],Table4[STORE '#],Table4[DATE RGR])</f>
        <v>46183</v>
      </c>
      <c r="BI12" s="50" t="str">
        <f>_xlfn.XLOOKUP(Table3[[#This Row],[Location]],Table1[Location Name],Table1[Weekly Inventory Count Day])</f>
        <v>Tuesday</v>
      </c>
      <c r="BJ12" s="10" t="str">
        <f>_xlfn.XLOOKUP(Table3[[#This Row],[Location]],Table1[Location Name],Table1[FOB Risk Profile])</f>
        <v>High</v>
      </c>
      <c r="BK12" s="59" t="s">
        <v>182</v>
      </c>
      <c r="BL12" t="s">
        <v>183</v>
      </c>
      <c r="BM12" s="102">
        <v>46129</v>
      </c>
      <c r="BN12" s="102"/>
    </row>
    <row r="13" spans="1:66" ht="16" customHeight="1">
      <c r="A13" s="3">
        <v>24471</v>
      </c>
      <c r="B13" s="3" t="s">
        <v>128</v>
      </c>
      <c r="C13" s="3" t="str">
        <f>LEFT(Table1[[#This Row],[Owner/Operator]], SEARCH(" ", Table1[[#This Row],[Owner/Operator]]) - 1) &amp; "@" &amp; Table1[[#This Row],[Email Domain]]</f>
        <v>Ryan@mcdok.com</v>
      </c>
      <c r="D13" s="3"/>
      <c r="E13" s="3" t="s">
        <v>129</v>
      </c>
      <c r="F13" t="s">
        <v>130</v>
      </c>
      <c r="H13" t="str">
        <f>LEFT(Table1[[#This Row],[Supervisor]], SEARCH(" ", Table1[[#This Row],[Supervisor]]) - 1) &amp; "@" &amp; Table1[[#This Row],[Email Domain]]</f>
        <v>Robert@mcdok.com</v>
      </c>
      <c r="I13" t="s">
        <v>199</v>
      </c>
      <c r="J13" t="str">
        <f>LEFT(Table1[[#This Row],[GM]], SEARCH(" ", Table1[[#This Row],[GM]]) - 1) &amp; "@" &amp; Table1[[#This Row],[Email Domain]]</f>
        <v>Mystykal@mcdok.com</v>
      </c>
      <c r="K13" t="s">
        <v>132</v>
      </c>
      <c r="L13" t="s">
        <v>200</v>
      </c>
      <c r="M13" t="str">
        <f>"mcdok.mdp+"&amp;Table1[[#This Row],[Location Name]]&amp;"@gmail.com"</f>
        <v>mcdok.mdp+24471@gmail.com</v>
      </c>
      <c r="N13" s="116" t="str">
        <f>"Mcdok.mdp"&amp;Table1[[#This Row],[Location Name]]</f>
        <v>Mcdok.mdp24471</v>
      </c>
      <c r="O13" s="131" t="s">
        <v>201</v>
      </c>
      <c r="P13" t="s">
        <v>202</v>
      </c>
      <c r="Q13" t="s">
        <v>35</v>
      </c>
      <c r="R13" t="s">
        <v>23</v>
      </c>
      <c r="S13" s="2"/>
      <c r="T13" t="s">
        <v>146</v>
      </c>
      <c r="U13" t="str">
        <f>_xlfn.XLOOKUP(Table1[[#This Row],[Location Name]],'Risk Profiles'!$A$18:$A$37,'Risk Profiles'!$B$18:$B$37)</f>
        <v>High</v>
      </c>
      <c r="V13" t="str">
        <f>_xlfn.XLOOKUP(Table1[[#This Row],[Location Name]],'Risk Profiles'!$A$18:$A$37,'Risk Profiles'!$C$18:$C$37)</f>
        <v>High FOB% (5.55%), High Stat Var (2.04%)</v>
      </c>
      <c r="W13" t="str">
        <f>_xlfn.XLOOKUP(Table1[[#This Row],[Location Name]],'Risk Profiles'!$A$18:$A$37,'Risk Profiles'!$D$18:$D$37)</f>
        <v>Medium</v>
      </c>
      <c r="X13" t="str">
        <f>_xlfn.XLOOKUP(Table1[[#This Row],[Location Name]],'Risk Profiles'!$A$18:$A$37,'Risk Profiles'!$E$18:$E$37)</f>
        <v>Within Normal range</v>
      </c>
      <c r="Y13" t="s">
        <v>203</v>
      </c>
      <c r="Z13" t="s">
        <v>35</v>
      </c>
      <c r="AA13" s="2">
        <f>_xlfn.XLOOKUP(A13,Table3[Location],Table3[Date Scheduled])</f>
        <v>46086</v>
      </c>
      <c r="AB13" t="s">
        <v>138</v>
      </c>
      <c r="AC13" t="s">
        <v>139</v>
      </c>
      <c r="AE13" s="102">
        <v>46129</v>
      </c>
      <c r="AF13" s="24" t="s">
        <v>84</v>
      </c>
      <c r="AG13" s="129">
        <v>46268</v>
      </c>
      <c r="AH13" t="s">
        <v>35</v>
      </c>
      <c r="AI13" t="s">
        <v>35</v>
      </c>
      <c r="AJ13" t="s">
        <v>35</v>
      </c>
      <c r="AK13" s="137">
        <f ca="1">IFERROR(INDEX('Scheduling Setup'!$L:$L,MATCH($A13,'Scheduling Setup'!$A:$A,0)),"")</f>
        <v>46274</v>
      </c>
      <c r="AV13" s="58"/>
      <c r="BA13" s="19">
        <v>3708</v>
      </c>
      <c r="BB13" s="19" t="str">
        <f t="shared" si="0"/>
        <v>Robert Spencer</v>
      </c>
      <c r="BC13" s="19" t="str">
        <f t="shared" si="1"/>
        <v>Cinthya Armedariz</v>
      </c>
      <c r="BD13" s="19" t="str">
        <f t="shared" si="2"/>
        <v>Cinthya</v>
      </c>
      <c r="BE13" s="10" t="s">
        <v>181</v>
      </c>
      <c r="BF13" s="20">
        <v>46133</v>
      </c>
      <c r="BG13" s="29">
        <v>0.33333333333333331</v>
      </c>
      <c r="BH13" s="49">
        <f>_xlfn.XLOOKUP(Table3[[#This Row],[Location]],Table4[STORE '#],Table4[DATE RGR])</f>
        <v>46260</v>
      </c>
      <c r="BI13" s="50" t="str">
        <f>_xlfn.XLOOKUP(Table3[[#This Row],[Location]],Table1[Location Name],Table1[Weekly Inventory Count Day])</f>
        <v>Tuesday</v>
      </c>
      <c r="BJ13" s="10" t="str">
        <f>_xlfn.XLOOKUP(Table3[[#This Row],[Location]],Table1[Location Name],Table1[FOB Risk Profile])</f>
        <v>Medium</v>
      </c>
      <c r="BK13" s="59" t="s">
        <v>182</v>
      </c>
      <c r="BL13" t="s">
        <v>183</v>
      </c>
      <c r="BM13" s="102">
        <v>46129</v>
      </c>
      <c r="BN13" s="102"/>
    </row>
    <row r="14" spans="1:66" ht="16" customHeight="1">
      <c r="A14" s="3">
        <v>29760</v>
      </c>
      <c r="B14" s="3" t="s">
        <v>128</v>
      </c>
      <c r="C14" s="3" t="str">
        <f>LEFT(Table1[[#This Row],[Owner/Operator]], SEARCH(" ", Table1[[#This Row],[Owner/Operator]]) - 1) &amp; "@" &amp; Table1[[#This Row],[Email Domain]]</f>
        <v>Ryan@mcdok.com</v>
      </c>
      <c r="D14" s="3"/>
      <c r="E14" s="3" t="s">
        <v>129</v>
      </c>
      <c r="F14" t="s">
        <v>141</v>
      </c>
      <c r="H14" t="str">
        <f>LEFT(Table1[[#This Row],[Supervisor]], SEARCH(" ", Table1[[#This Row],[Supervisor]]) - 1) &amp; "@" &amp; Table1[[#This Row],[Email Domain]]</f>
        <v>Krystiana@mcdok.com</v>
      </c>
      <c r="I14" t="s">
        <v>204</v>
      </c>
      <c r="J14" t="str">
        <f>LEFT(Table1[[#This Row],[GM]], SEARCH(" ", Table1[[#This Row],[GM]]) - 1) &amp; "@" &amp; Table1[[#This Row],[Email Domain]]</f>
        <v>Heather@mcdok.com</v>
      </c>
      <c r="K14" t="s">
        <v>132</v>
      </c>
      <c r="L14" t="s">
        <v>205</v>
      </c>
      <c r="M14" t="str">
        <f>"mcdok.mdp+"&amp;Table1[[#This Row],[Location Name]]&amp;"@gmail.com"</f>
        <v>mcdok.mdp+29760@gmail.com</v>
      </c>
      <c r="N14" s="116" t="str">
        <f>"Mcdok.mdp"&amp;Table1[[#This Row],[Location Name]]</f>
        <v>Mcdok.mdp29760</v>
      </c>
      <c r="O14" s="131" t="s">
        <v>206</v>
      </c>
      <c r="P14" t="s">
        <v>207</v>
      </c>
      <c r="Q14" t="s">
        <v>35</v>
      </c>
      <c r="R14" t="s">
        <v>23</v>
      </c>
      <c r="S14" s="2"/>
      <c r="T14" t="s">
        <v>146</v>
      </c>
      <c r="U14" t="str">
        <f>_xlfn.XLOOKUP(Table1[[#This Row],[Location Name]],'Risk Profiles'!$A$18:$A$37,'Risk Profiles'!$B$18:$B$37)</f>
        <v>Low</v>
      </c>
      <c r="V14" t="str">
        <f>_xlfn.XLOOKUP(Table1[[#This Row],[Location Name]],'Risk Profiles'!$A$18:$A$37,'Risk Profiles'!$C$18:$C$37)</f>
        <v>Within Normal range</v>
      </c>
      <c r="W14" t="str">
        <f>_xlfn.XLOOKUP(Table1[[#This Row],[Location Name]],'Risk Profiles'!$A$18:$A$37,'Risk Profiles'!$D$18:$D$37)</f>
        <v>Low</v>
      </c>
      <c r="X14" t="str">
        <f>_xlfn.XLOOKUP(Table1[[#This Row],[Location Name]],'Risk Profiles'!$A$18:$A$37,'Risk Profiles'!$E$18:$E$37)</f>
        <v>Within Normal range</v>
      </c>
      <c r="Y14" t="s">
        <v>208</v>
      </c>
      <c r="Z14" t="s">
        <v>35</v>
      </c>
      <c r="AA14" s="2">
        <f>_xlfn.XLOOKUP(A14,Table3[Location],Table3[Date Scheduled])</f>
        <v>46100</v>
      </c>
      <c r="AB14" t="s">
        <v>136</v>
      </c>
      <c r="AC14" t="s">
        <v>148</v>
      </c>
      <c r="AE14" s="102">
        <v>46129</v>
      </c>
      <c r="AF14" s="24" t="s">
        <v>73</v>
      </c>
      <c r="AG14" s="129">
        <v>46267</v>
      </c>
      <c r="AH14" t="s">
        <v>35</v>
      </c>
      <c r="AI14" t="s">
        <v>35</v>
      </c>
      <c r="AJ14" t="s">
        <v>35</v>
      </c>
      <c r="AK14" s="137">
        <f ca="1">IFERROR(INDEX('Scheduling Setup'!$L:$L,MATCH($A14,'Scheduling Setup'!$A:$A,0)),"")</f>
        <v>46267</v>
      </c>
      <c r="AV14" s="58"/>
      <c r="BA14" s="19">
        <v>33222</v>
      </c>
      <c r="BB14" s="19" t="str">
        <f t="shared" si="0"/>
        <v>Krystiana Langford</v>
      </c>
      <c r="BC14" s="19" t="str">
        <f t="shared" si="1"/>
        <v>Carol Escusa</v>
      </c>
      <c r="BD14" s="19" t="str">
        <f t="shared" si="2"/>
        <v>Darryl</v>
      </c>
      <c r="BE14" s="10" t="s">
        <v>181</v>
      </c>
      <c r="BF14" s="20">
        <v>46135</v>
      </c>
      <c r="BG14" s="29">
        <v>0.33333333333333331</v>
      </c>
      <c r="BH14" s="49">
        <f>_xlfn.XLOOKUP(Table3[[#This Row],[Location]],Table4[STORE '#],Table4[DATE RGR])</f>
        <v>46169</v>
      </c>
      <c r="BI14" s="50" t="str">
        <f>_xlfn.XLOOKUP(Table3[[#This Row],[Location]],Table1[Location Name],Table1[Weekly Inventory Count Day])</f>
        <v>Thursday</v>
      </c>
      <c r="BJ14" s="10" t="str">
        <f>_xlfn.XLOOKUP(Table3[[#This Row],[Location]],Table1[Location Name],Table1[FOB Risk Profile])</f>
        <v>High</v>
      </c>
      <c r="BK14" s="59" t="s">
        <v>182</v>
      </c>
      <c r="BL14" t="s">
        <v>209</v>
      </c>
      <c r="BM14" s="102">
        <v>46129</v>
      </c>
      <c r="BN14" s="102"/>
    </row>
    <row r="15" spans="1:66" ht="16" customHeight="1">
      <c r="A15" s="3">
        <v>31357</v>
      </c>
      <c r="B15" s="3" t="s">
        <v>128</v>
      </c>
      <c r="C15" s="3" t="str">
        <f>LEFT(Table1[[#This Row],[Owner/Operator]], SEARCH(" ", Table1[[#This Row],[Owner/Operator]]) - 1) &amp; "@" &amp; Table1[[#This Row],[Email Domain]]</f>
        <v>Ryan@mcdok.com</v>
      </c>
      <c r="D15" s="3"/>
      <c r="E15" s="3" t="s">
        <v>129</v>
      </c>
      <c r="F15" t="s">
        <v>175</v>
      </c>
      <c r="H15" t="str">
        <f>LEFT(Table1[[#This Row],[Supervisor]], SEARCH(" ", Table1[[#This Row],[Supervisor]]) - 1) &amp; "@" &amp; Table1[[#This Row],[Email Domain]]</f>
        <v>Amanda@mcdok.com</v>
      </c>
      <c r="I15" t="s">
        <v>210</v>
      </c>
      <c r="J15" t="str">
        <f>LEFT(Table1[[#This Row],[GM]], SEARCH(" ", Table1[[#This Row],[GM]]) - 1) &amp; "@" &amp; Table1[[#This Row],[Email Domain]]</f>
        <v>Brady@mcdok.com</v>
      </c>
      <c r="K15" t="s">
        <v>132</v>
      </c>
      <c r="L15" t="s">
        <v>211</v>
      </c>
      <c r="M15" t="str">
        <f>"mcdok.mdp+"&amp;Table1[[#This Row],[Location Name]]&amp;"@gmail.com"</f>
        <v>mcdok.mdp+31357@gmail.com</v>
      </c>
      <c r="N15" s="116" t="str">
        <f>"Mcdok.mdp"&amp;Table1[[#This Row],[Location Name]]</f>
        <v>Mcdok.mdp31357</v>
      </c>
      <c r="O15" s="131" t="s">
        <v>212</v>
      </c>
      <c r="P15" t="s">
        <v>213</v>
      </c>
      <c r="Q15" t="s">
        <v>35</v>
      </c>
      <c r="R15" t="s">
        <v>23</v>
      </c>
      <c r="S15" s="2"/>
      <c r="T15" t="s">
        <v>146</v>
      </c>
      <c r="U15" t="str">
        <f>_xlfn.XLOOKUP(Table1[[#This Row],[Location Name]],'Risk Profiles'!$A$18:$A$37,'Risk Profiles'!$B$18:$B$37)</f>
        <v>Medium</v>
      </c>
      <c r="V15" t="str">
        <f>_xlfn.XLOOKUP(Table1[[#This Row],[Location Name]],'Risk Profiles'!$A$18:$A$37,'Risk Profiles'!$C$18:$C$37)</f>
        <v>Within Normal range</v>
      </c>
      <c r="W15" t="str">
        <f>_xlfn.XLOOKUP(Table1[[#This Row],[Location Name]],'Risk Profiles'!$A$18:$A$37,'Risk Profiles'!$D$18:$D$37)</f>
        <v>Medium</v>
      </c>
      <c r="X15" t="str">
        <f>_xlfn.XLOOKUP(Table1[[#This Row],[Location Name]],'Risk Profiles'!$A$18:$A$37,'Risk Profiles'!$E$18:$E$37)</f>
        <v>Within Normal range</v>
      </c>
      <c r="Y15" t="s">
        <v>214</v>
      </c>
      <c r="Z15" t="s">
        <v>35</v>
      </c>
      <c r="AA15" s="2">
        <f>_xlfn.XLOOKUP(A15,Table3[Location],Table3[Date Scheduled])</f>
        <v>46156</v>
      </c>
      <c r="AB15" t="s">
        <v>136</v>
      </c>
      <c r="AC15" t="s">
        <v>148</v>
      </c>
      <c r="AE15" s="102">
        <v>46129</v>
      </c>
      <c r="AF15" s="24" t="s">
        <v>70</v>
      </c>
      <c r="AG15" s="129">
        <v>46261</v>
      </c>
      <c r="AH15" t="s">
        <v>35</v>
      </c>
      <c r="AI15" t="s">
        <v>35</v>
      </c>
      <c r="AJ15" t="s">
        <v>35</v>
      </c>
      <c r="AK15" s="137">
        <f ca="1">IFERROR(INDEX('Scheduling Setup'!$L:$L,MATCH($A15,'Scheduling Setup'!$A:$A,0)),"")</f>
        <v>46267</v>
      </c>
      <c r="AV15" s="58"/>
      <c r="BA15" s="19">
        <v>10915</v>
      </c>
      <c r="BB15" s="19" t="str">
        <f t="shared" si="0"/>
        <v>Steven Vaughn</v>
      </c>
      <c r="BC15" s="19" t="str">
        <f t="shared" si="1"/>
        <v>Caleb Nunnelley</v>
      </c>
      <c r="BD15" s="19" t="str">
        <f t="shared" si="2"/>
        <v>Caitlin</v>
      </c>
      <c r="BE15" s="10" t="s">
        <v>181</v>
      </c>
      <c r="BF15" s="20">
        <v>46148</v>
      </c>
      <c r="BG15" s="29">
        <v>0.33333333333333331</v>
      </c>
      <c r="BH15" s="49">
        <f>_xlfn.XLOOKUP(Table3[[#This Row],[Location]],Table4[STORE '#],Table4[DATE RGR])</f>
        <v>46071</v>
      </c>
      <c r="BI15" s="50" t="str">
        <f>_xlfn.XLOOKUP(Table3[[#This Row],[Location]],Table1[Location Name],Table1[Weekly Inventory Count Day])</f>
        <v>Wednesday</v>
      </c>
      <c r="BJ15" s="10" t="str">
        <f>_xlfn.XLOOKUP(Table3[[#This Row],[Location]],Table1[Location Name],Table1[FOB Risk Profile])</f>
        <v>Medium</v>
      </c>
      <c r="BK15" s="60" t="s">
        <v>182</v>
      </c>
      <c r="BL15" t="s">
        <v>183</v>
      </c>
      <c r="BM15" s="102">
        <v>46129</v>
      </c>
      <c r="BN15" s="102"/>
    </row>
    <row r="16" spans="1:66" ht="16" customHeight="1">
      <c r="A16" s="3">
        <v>32525</v>
      </c>
      <c r="B16" s="3" t="s">
        <v>128</v>
      </c>
      <c r="C16" s="3" t="str">
        <f>LEFT(Table1[[#This Row],[Owner/Operator]], SEARCH(" ", Table1[[#This Row],[Owner/Operator]]) - 1) &amp; "@" &amp; Table1[[#This Row],[Email Domain]]</f>
        <v>Ryan@mcdok.com</v>
      </c>
      <c r="D16" s="3"/>
      <c r="E16" s="3" t="s">
        <v>129</v>
      </c>
      <c r="F16" t="s">
        <v>130</v>
      </c>
      <c r="H16" t="str">
        <f>LEFT(Table1[[#This Row],[Supervisor]], SEARCH(" ", Table1[[#This Row],[Supervisor]]) - 1) &amp; "@" &amp; Table1[[#This Row],[Email Domain]]</f>
        <v>Robert@mcdok.com</v>
      </c>
      <c r="I16" t="s">
        <v>215</v>
      </c>
      <c r="J16" t="str">
        <f>LEFT(Table1[[#This Row],[GM]], SEARCH(" ", Table1[[#This Row],[GM]]) - 1) &amp; "@" &amp; Table1[[#This Row],[Email Domain]]</f>
        <v>Aliyah@mcdok.com</v>
      </c>
      <c r="K16" t="s">
        <v>132</v>
      </c>
      <c r="L16" t="s">
        <v>177</v>
      </c>
      <c r="M16" t="str">
        <f>"mcdok.mdp+"&amp;Table1[[#This Row],[Location Name]]&amp;"@gmail.com"</f>
        <v>mcdok.mdp+32525@gmail.com</v>
      </c>
      <c r="N16" s="116" t="str">
        <f>"Mcdok.mdp"&amp;Table1[[#This Row],[Location Name]]</f>
        <v>Mcdok.mdp32525</v>
      </c>
      <c r="O16" s="131" t="s">
        <v>216</v>
      </c>
      <c r="P16" t="s">
        <v>217</v>
      </c>
      <c r="Q16" t="s">
        <v>35</v>
      </c>
      <c r="R16" t="s">
        <v>23</v>
      </c>
      <c r="S16" s="2"/>
      <c r="T16" t="s">
        <v>146</v>
      </c>
      <c r="U16" t="str">
        <f>_xlfn.XLOOKUP(Table1[[#This Row],[Location Name]],'Risk Profiles'!$A$18:$A$37,'Risk Profiles'!$B$18:$B$37)</f>
        <v>High</v>
      </c>
      <c r="V16" t="str">
        <f>_xlfn.XLOOKUP(Table1[[#This Row],[Location Name]],'Risk Profiles'!$A$18:$A$37,'Risk Profiles'!$C$18:$C$37)</f>
        <v>High FOB% (5.27%), High Waste (1.51%)</v>
      </c>
      <c r="W16" t="str">
        <f>_xlfn.XLOOKUP(Table1[[#This Row],[Location Name]],'Risk Profiles'!$A$18:$A$37,'Risk Profiles'!$D$18:$D$37)</f>
        <v>Low</v>
      </c>
      <c r="X16" t="str">
        <f>_xlfn.XLOOKUP(Table1[[#This Row],[Location Name]],'Risk Profiles'!$A$18:$A$37,'Risk Profiles'!$E$18:$E$37)</f>
        <v>Within Normal range</v>
      </c>
      <c r="Y16" t="s">
        <v>218</v>
      </c>
      <c r="Z16" t="s">
        <v>35</v>
      </c>
      <c r="AA16" s="2">
        <f>_xlfn.XLOOKUP(A16,Table3[Location],Table3[Date Scheduled])</f>
        <v>46121</v>
      </c>
      <c r="AB16" t="s">
        <v>136</v>
      </c>
      <c r="AC16" t="s">
        <v>148</v>
      </c>
      <c r="AE16" s="102">
        <v>46129</v>
      </c>
      <c r="AF16" s="24" t="s">
        <v>55</v>
      </c>
      <c r="AG16" s="129">
        <v>46251</v>
      </c>
      <c r="AH16" t="s">
        <v>35</v>
      </c>
      <c r="AI16" t="s">
        <v>35</v>
      </c>
      <c r="AJ16" t="s">
        <v>35</v>
      </c>
      <c r="AK16" s="137">
        <f ca="1">IFERROR(INDEX('Scheduling Setup'!$L:$L,MATCH($A16,'Scheduling Setup'!$A:$A,0)),"")</f>
        <v>46267</v>
      </c>
      <c r="AV16" s="58"/>
      <c r="BA16" s="19">
        <v>11657</v>
      </c>
      <c r="BB16" s="19" t="str">
        <f t="shared" si="0"/>
        <v>Amanda Estrada</v>
      </c>
      <c r="BC16" s="19" t="str">
        <f t="shared" si="1"/>
        <v>Jessie Hiatt</v>
      </c>
      <c r="BD16" s="19" t="str">
        <f t="shared" si="2"/>
        <v>Norma</v>
      </c>
      <c r="BE16" s="10" t="s">
        <v>181</v>
      </c>
      <c r="BF16" s="20">
        <v>46149</v>
      </c>
      <c r="BG16" s="29">
        <v>0.33333333333333331</v>
      </c>
      <c r="BH16" s="49">
        <f>_xlfn.XLOOKUP(Table3[[#This Row],[Location]],Table4[STORE '#],Table4[DATE RGR])</f>
        <v>46134</v>
      </c>
      <c r="BI16" s="50" t="str">
        <f>_xlfn.XLOOKUP(Table3[[#This Row],[Location]],Table1[Location Name],Table1[Weekly Inventory Count Day])</f>
        <v>Thursday</v>
      </c>
      <c r="BJ16" s="10" t="str">
        <f>_xlfn.XLOOKUP(Table3[[#This Row],[Location]],Table1[Location Name],Table1[FOB Risk Profile])</f>
        <v>Medium</v>
      </c>
      <c r="BK16" s="59" t="s">
        <v>182</v>
      </c>
      <c r="BL16" t="s">
        <v>219</v>
      </c>
      <c r="BM16" s="102">
        <v>46129</v>
      </c>
      <c r="BN16" s="102"/>
    </row>
    <row r="17" spans="1:66" ht="16" customHeight="1">
      <c r="A17" s="3">
        <v>33109</v>
      </c>
      <c r="B17" s="3" t="s">
        <v>149</v>
      </c>
      <c r="C17" s="104" t="s">
        <v>150</v>
      </c>
      <c r="D17" s="104" t="s">
        <v>151</v>
      </c>
      <c r="E17" s="3" t="s">
        <v>129</v>
      </c>
      <c r="F17" t="s">
        <v>152</v>
      </c>
      <c r="H17" t="str">
        <f>LEFT(Table1[[#This Row],[Supervisor]], SEARCH(" ", Table1[[#This Row],[Supervisor]]) - 1) &amp; "@" &amp; Table1[[#This Row],[Email Domain]]</f>
        <v>Ashley@mcdok.com</v>
      </c>
      <c r="I17" t="s">
        <v>220</v>
      </c>
      <c r="J17" t="str">
        <f>LEFT(Table1[[#This Row],[GM]], SEARCH(" ", Table1[[#This Row],[GM]]) - 1) &amp; "@" &amp; Table1[[#This Row],[Email Domain]]</f>
        <v>Rey@mcdok.com</v>
      </c>
      <c r="K17" t="s">
        <v>132</v>
      </c>
      <c r="L17" t="s">
        <v>221</v>
      </c>
      <c r="M17" t="str">
        <f>"mcdok.mdp+"&amp;Table1[[#This Row],[Location Name]]&amp;"@gmail.com"</f>
        <v>mcdok.mdp+33109@gmail.com</v>
      </c>
      <c r="N17" s="116" t="str">
        <f>"Mcdok.mdp"&amp;Table1[[#This Row],[Location Name]]</f>
        <v>Mcdok.mdp33109</v>
      </c>
      <c r="O17" s="131" t="s">
        <v>222</v>
      </c>
      <c r="P17" t="s">
        <v>223</v>
      </c>
      <c r="Q17" t="s">
        <v>35</v>
      </c>
      <c r="R17" t="s">
        <v>23</v>
      </c>
      <c r="S17" s="2"/>
      <c r="T17" t="s">
        <v>136</v>
      </c>
      <c r="U17" t="str">
        <f>_xlfn.XLOOKUP(Table1[[#This Row],[Location Name]],'Risk Profiles'!$A$18:$A$37,'Risk Profiles'!$B$18:$B$37)</f>
        <v>Low</v>
      </c>
      <c r="V17" t="str">
        <f>_xlfn.XLOOKUP(Table1[[#This Row],[Location Name]],'Risk Profiles'!$A$18:$A$37,'Risk Profiles'!$C$18:$C$37)</f>
        <v>Within Normal range</v>
      </c>
      <c r="W17" t="str">
        <f>_xlfn.XLOOKUP(Table1[[#This Row],[Location Name]],'Risk Profiles'!$A$18:$A$37,'Risk Profiles'!$D$18:$D$37)</f>
        <v>Low</v>
      </c>
      <c r="X17" t="str">
        <f>_xlfn.XLOOKUP(Table1[[#This Row],[Location Name]],'Risk Profiles'!$A$18:$A$37,'Risk Profiles'!$E$18:$E$37)</f>
        <v>Within Normal range</v>
      </c>
      <c r="Y17" t="s">
        <v>224</v>
      </c>
      <c r="Z17" t="s">
        <v>35</v>
      </c>
      <c r="AA17" s="2">
        <f>_xlfn.XLOOKUP(A17,Table3[Location],Table3[Date Scheduled])</f>
        <v>46170</v>
      </c>
      <c r="AB17" t="s">
        <v>138</v>
      </c>
      <c r="AC17" t="s">
        <v>139</v>
      </c>
      <c r="AE17" s="102">
        <v>46129</v>
      </c>
      <c r="AF17" s="24" t="s">
        <v>62</v>
      </c>
      <c r="AG17" s="129">
        <v>46252</v>
      </c>
      <c r="AH17" t="s">
        <v>35</v>
      </c>
      <c r="AI17" t="s">
        <v>35</v>
      </c>
      <c r="AJ17" t="s">
        <v>35</v>
      </c>
      <c r="AK17" s="137">
        <f ca="1">IFERROR(INDEX('Scheduling Setup'!$L:$L,MATCH($A17,'Scheduling Setup'!$A:$A,0)),"")</f>
        <v>46260</v>
      </c>
      <c r="BA17" s="30">
        <v>31357</v>
      </c>
      <c r="BB17" s="30" t="str">
        <f t="shared" si="0"/>
        <v>Amanda Estrada</v>
      </c>
      <c r="BC17" s="30" t="str">
        <f t="shared" si="1"/>
        <v>Brady Giambaresi</v>
      </c>
      <c r="BD17" s="30" t="str">
        <f t="shared" si="2"/>
        <v>Angelo</v>
      </c>
      <c r="BE17" s="11" t="s">
        <v>181</v>
      </c>
      <c r="BF17" s="31">
        <v>46156</v>
      </c>
      <c r="BG17" s="32">
        <v>0.33333333333333331</v>
      </c>
      <c r="BH17" s="51">
        <f>_xlfn.XLOOKUP(Table3[[#This Row],[Location]],Table4[STORE '#],Table4[DATE RGR])</f>
        <v>46197</v>
      </c>
      <c r="BI17" s="52" t="str">
        <f>_xlfn.XLOOKUP(Table3[[#This Row],[Location]],Table1[Location Name],Table1[Weekly Inventory Count Day])</f>
        <v>Thursday</v>
      </c>
      <c r="BJ17" s="11" t="str">
        <f>_xlfn.XLOOKUP(Table3[[#This Row],[Location]],Table1[Location Name],Table1[FOB Risk Profile])</f>
        <v>Medium</v>
      </c>
      <c r="BK17" s="69" t="s">
        <v>182</v>
      </c>
      <c r="BL17" t="s">
        <v>183</v>
      </c>
      <c r="BM17" s="102">
        <v>46129</v>
      </c>
      <c r="BN17" s="102"/>
    </row>
    <row r="18" spans="1:66" ht="16" customHeight="1">
      <c r="A18" s="3">
        <v>33222</v>
      </c>
      <c r="B18" s="3" t="s">
        <v>128</v>
      </c>
      <c r="C18" s="3" t="str">
        <f>LEFT(Table1[[#This Row],[Owner/Operator]], SEARCH(" ", Table1[[#This Row],[Owner/Operator]]) - 1) &amp; "@" &amp; Table1[[#This Row],[Email Domain]]</f>
        <v>Ryan@mcdok.com</v>
      </c>
      <c r="D18" s="3"/>
      <c r="E18" s="3" t="s">
        <v>129</v>
      </c>
      <c r="F18" t="s">
        <v>141</v>
      </c>
      <c r="H18" t="str">
        <f>LEFT(Table1[[#This Row],[Supervisor]], SEARCH(" ", Table1[[#This Row],[Supervisor]]) - 1) &amp; "@" &amp; Table1[[#This Row],[Email Domain]]</f>
        <v>Krystiana@mcdok.com</v>
      </c>
      <c r="I18" t="s">
        <v>225</v>
      </c>
      <c r="J18" t="str">
        <f>LEFT(Table1[[#This Row],[GM]], SEARCH(" ", Table1[[#This Row],[GM]]) - 1) &amp; "@" &amp; Table1[[#This Row],[Email Domain]]</f>
        <v>Carol@mcdok.com</v>
      </c>
      <c r="K18" t="s">
        <v>132</v>
      </c>
      <c r="L18" t="s">
        <v>177</v>
      </c>
      <c r="M18" t="str">
        <f>"mcdok.mdp+"&amp;Table1[[#This Row],[Location Name]]&amp;"@gmail.com"</f>
        <v>mcdok.mdp+33222@gmail.com</v>
      </c>
      <c r="N18" s="116" t="str">
        <f>"Mcdok.mdp"&amp;Table1[[#This Row],[Location Name]]</f>
        <v>Mcdok.mdp33222</v>
      </c>
      <c r="O18" s="131" t="s">
        <v>226</v>
      </c>
      <c r="P18" t="s">
        <v>227</v>
      </c>
      <c r="Q18" t="s">
        <v>35</v>
      </c>
      <c r="R18" t="s">
        <v>35</v>
      </c>
      <c r="S18" s="2">
        <v>46082</v>
      </c>
      <c r="T18" t="s">
        <v>146</v>
      </c>
      <c r="U18" t="str">
        <f>_xlfn.XLOOKUP(Table1[[#This Row],[Location Name]],'Risk Profiles'!$A$18:$A$37,'Risk Profiles'!$B$18:$B$37)</f>
        <v>High</v>
      </c>
      <c r="V18" t="str">
        <f>_xlfn.XLOOKUP(Table1[[#This Row],[Location Name]],'Risk Profiles'!$A$18:$A$37,'Risk Profiles'!$C$18:$C$37)</f>
        <v>Bulk Theft/Untracked Waste</v>
      </c>
      <c r="W18" t="str">
        <f>_xlfn.XLOOKUP(Table1[[#This Row],[Location Name]],'Risk Profiles'!$A$18:$A$37,'Risk Profiles'!$D$18:$D$37)</f>
        <v>Low</v>
      </c>
      <c r="X18" t="str">
        <f>_xlfn.XLOOKUP(Table1[[#This Row],[Location Name]],'Risk Profiles'!$A$18:$A$37,'Risk Profiles'!$E$18:$E$37)</f>
        <v>Within Normal range</v>
      </c>
      <c r="Y18" t="s">
        <v>228</v>
      </c>
      <c r="Z18" t="s">
        <v>35</v>
      </c>
      <c r="AA18" s="2">
        <f>_xlfn.XLOOKUP(A18,Table3[Location],Table3[Date Scheduled])</f>
        <v>46135</v>
      </c>
      <c r="AB18" t="s">
        <v>136</v>
      </c>
      <c r="AC18" t="s">
        <v>148</v>
      </c>
      <c r="AE18" s="102">
        <v>46129</v>
      </c>
      <c r="AF18" s="24" t="s">
        <v>73</v>
      </c>
      <c r="AG18" s="129">
        <v>46267</v>
      </c>
      <c r="AH18" t="s">
        <v>35</v>
      </c>
      <c r="AI18" t="s">
        <v>35</v>
      </c>
      <c r="AJ18" t="s">
        <v>35</v>
      </c>
      <c r="AK18" s="137">
        <f ca="1">IFERROR(INDEX('Scheduling Setup'!$L:$L,MATCH($A18,'Scheduling Setup'!$A:$A,0)),"")</f>
        <v>46274</v>
      </c>
      <c r="BA18" s="30">
        <v>33704</v>
      </c>
      <c r="BB18" s="30" t="str">
        <f t="shared" si="0"/>
        <v>Steven Vaughn</v>
      </c>
      <c r="BC18" s="30" t="str">
        <f t="shared" si="1"/>
        <v>Candy Barksdale</v>
      </c>
      <c r="BD18" s="30" t="str">
        <f t="shared" si="2"/>
        <v>Marlena</v>
      </c>
      <c r="BE18" s="11" t="s">
        <v>181</v>
      </c>
      <c r="BF18" s="31">
        <v>46157</v>
      </c>
      <c r="BG18" s="32">
        <v>0.33333333333333331</v>
      </c>
      <c r="BH18" s="51">
        <f>_xlfn.XLOOKUP(Table3[[#This Row],[Location]],Table4[STORE '#],Table4[DATE RGR])</f>
        <v>46127</v>
      </c>
      <c r="BI18" s="52" t="str">
        <f>_xlfn.XLOOKUP(Table3[[#This Row],[Location]],Table1[Location Name],Table1[Weekly Inventory Count Day])</f>
        <v>Friday</v>
      </c>
      <c r="BJ18" s="11" t="str">
        <f>_xlfn.XLOOKUP(Table3[[#This Row],[Location]],Table1[Location Name],Table1[FOB Risk Profile])</f>
        <v>Medium</v>
      </c>
      <c r="BK18" s="69" t="s">
        <v>182</v>
      </c>
      <c r="BL18" t="s">
        <v>183</v>
      </c>
      <c r="BM18" s="102">
        <v>46129</v>
      </c>
      <c r="BN18" s="102"/>
    </row>
    <row r="19" spans="1:66" ht="16" customHeight="1">
      <c r="A19" s="3">
        <v>33704</v>
      </c>
      <c r="B19" s="3" t="s">
        <v>140</v>
      </c>
      <c r="C19" s="3" t="str">
        <f>LEFT(Table1[[#This Row],[Owner/Operator]], SEARCH(" ", Table1[[#This Row],[Owner/Operator]]) - 1) &amp; "@" &amp; Table1[[#This Row],[Email Domain]]</f>
        <v>Gary@mcdok.com</v>
      </c>
      <c r="D19" s="3"/>
      <c r="E19" s="3" t="s">
        <v>129</v>
      </c>
      <c r="F19" t="s">
        <v>168</v>
      </c>
      <c r="H19" t="str">
        <f>LEFT(Table1[[#This Row],[Supervisor]], SEARCH(" ", Table1[[#This Row],[Supervisor]]) - 1) &amp; "@" &amp; Table1[[#This Row],[Email Domain]]</f>
        <v>Steven@mcdok.com</v>
      </c>
      <c r="I19" t="s">
        <v>229</v>
      </c>
      <c r="J19" t="str">
        <f>LEFT(Table1[[#This Row],[GM]], SEARCH(" ", Table1[[#This Row],[GM]]) - 1) &amp; "@" &amp; Table1[[#This Row],[Email Domain]]</f>
        <v>Candy@mcdok.com</v>
      </c>
      <c r="K19" t="s">
        <v>132</v>
      </c>
      <c r="L19" t="s">
        <v>230</v>
      </c>
      <c r="M19" t="str">
        <f>"mcdok.mdp+"&amp;Table1[[#This Row],[Location Name]]&amp;"@gmail.com"</f>
        <v>mcdok.mdp+33704@gmail.com</v>
      </c>
      <c r="N19" s="116" t="str">
        <f>"Mcdok.mdp"&amp;Table1[[#This Row],[Location Name]]</f>
        <v>Mcdok.mdp33704</v>
      </c>
      <c r="O19" s="131" t="s">
        <v>231</v>
      </c>
      <c r="P19" t="s">
        <v>232</v>
      </c>
      <c r="Q19" t="s">
        <v>35</v>
      </c>
      <c r="R19" t="s">
        <v>23</v>
      </c>
      <c r="S19" s="2"/>
      <c r="T19" t="s">
        <v>148</v>
      </c>
      <c r="U19" t="str">
        <f>_xlfn.XLOOKUP(Table1[[#This Row],[Location Name]],'Risk Profiles'!$A$18:$A$37,'Risk Profiles'!$B$18:$B$37)</f>
        <v>Medium</v>
      </c>
      <c r="V19" t="str">
        <f>_xlfn.XLOOKUP(Table1[[#This Row],[Location Name]],'Risk Profiles'!$A$18:$A$37,'Risk Profiles'!$C$18:$C$37)</f>
        <v>Within Normal range</v>
      </c>
      <c r="W19" t="str">
        <f>_xlfn.XLOOKUP(Table1[[#This Row],[Location Name]],'Risk Profiles'!$A$18:$A$37,'Risk Profiles'!$D$18:$D$37)</f>
        <v>Medium</v>
      </c>
      <c r="X19" t="str">
        <f>_xlfn.XLOOKUP(Table1[[#This Row],[Location Name]],'Risk Profiles'!$A$18:$A$37,'Risk Profiles'!$E$18:$E$37)</f>
        <v>High Discounts (7.10%)</v>
      </c>
      <c r="Y19" t="s">
        <v>233</v>
      </c>
      <c r="Z19" t="s">
        <v>35</v>
      </c>
      <c r="AA19" s="2">
        <f>_xlfn.XLOOKUP(A19,Table3[Location],Table3[Date Scheduled])</f>
        <v>46157</v>
      </c>
      <c r="AB19" t="s">
        <v>174</v>
      </c>
      <c r="AC19" t="s">
        <v>146</v>
      </c>
      <c r="AE19" s="102">
        <v>46129</v>
      </c>
      <c r="AF19" s="24" t="s">
        <v>39</v>
      </c>
      <c r="AG19" s="129">
        <v>46246</v>
      </c>
      <c r="AH19" t="s">
        <v>35</v>
      </c>
      <c r="AI19" t="s">
        <v>35</v>
      </c>
      <c r="AJ19" t="s">
        <v>35</v>
      </c>
      <c r="AK19" s="137">
        <f ca="1">IFERROR(INDEX('Scheduling Setup'!$L:$L,MATCH($A19,'Scheduling Setup'!$A:$A,0)),"")</f>
        <v>46253</v>
      </c>
      <c r="BA19" s="30">
        <v>34222</v>
      </c>
      <c r="BB19" s="30" t="str">
        <f t="shared" si="0"/>
        <v>Steven Vaughn</v>
      </c>
      <c r="BC19" s="30" t="str">
        <f t="shared" si="1"/>
        <v>Hunter McKee</v>
      </c>
      <c r="BD19" s="30" t="str">
        <f t="shared" si="2"/>
        <v>Kaylee</v>
      </c>
      <c r="BE19" s="11" t="s">
        <v>181</v>
      </c>
      <c r="BF19" s="31">
        <v>46162</v>
      </c>
      <c r="BG19" s="32">
        <v>0.375</v>
      </c>
      <c r="BH19" s="51">
        <f>_xlfn.XLOOKUP(Table3[[#This Row],[Location]],Table4[STORE '#],Table4[DATE RGR])</f>
        <v>46155</v>
      </c>
      <c r="BI19" s="52" t="str">
        <f>_xlfn.XLOOKUP(Table3[[#This Row],[Location]],Table1[Location Name],Table1[Weekly Inventory Count Day])</f>
        <v>Monday</v>
      </c>
      <c r="BJ19" s="11" t="str">
        <f>_xlfn.XLOOKUP(Table3[[#This Row],[Location]],Table1[Location Name],Table1[FOB Risk Profile])</f>
        <v>Low</v>
      </c>
      <c r="BK19" s="69" t="s">
        <v>182</v>
      </c>
      <c r="BL19" t="s">
        <v>183</v>
      </c>
      <c r="BM19" s="102">
        <v>46129</v>
      </c>
      <c r="BN19" s="102"/>
    </row>
    <row r="20" spans="1:66" ht="16" customHeight="1">
      <c r="A20" s="3">
        <v>34222</v>
      </c>
      <c r="B20" s="3" t="s">
        <v>140</v>
      </c>
      <c r="C20" s="3" t="str">
        <f>LEFT(Table1[[#This Row],[Owner/Operator]], SEARCH(" ", Table1[[#This Row],[Owner/Operator]]) - 1) &amp; "@" &amp; Table1[[#This Row],[Email Domain]]</f>
        <v>Gary@mcdok.com</v>
      </c>
      <c r="D20" s="3"/>
      <c r="E20" s="3" t="s">
        <v>129</v>
      </c>
      <c r="F20" t="s">
        <v>168</v>
      </c>
      <c r="H20" t="str">
        <f>LEFT(Table1[[#This Row],[Supervisor]], SEARCH(" ", Table1[[#This Row],[Supervisor]]) - 1) &amp; "@" &amp; Table1[[#This Row],[Email Domain]]</f>
        <v>Steven@mcdok.com</v>
      </c>
      <c r="I20" t="s">
        <v>234</v>
      </c>
      <c r="J20" t="str">
        <f>LEFT(Table1[[#This Row],[GM]], SEARCH(" ", Table1[[#This Row],[GM]]) - 1) &amp; "@" &amp; Table1[[#This Row],[Email Domain]]</f>
        <v>Hunter@mcdok.com</v>
      </c>
      <c r="K20" t="s">
        <v>132</v>
      </c>
      <c r="L20" t="s">
        <v>235</v>
      </c>
      <c r="M20" t="str">
        <f>"mcdok.mdp+"&amp;Table1[[#This Row],[Location Name]]&amp;"@gmail.com"</f>
        <v>mcdok.mdp+34222@gmail.com</v>
      </c>
      <c r="N20" s="116" t="str">
        <f>"Mcdok.mdp"&amp;Table1[[#This Row],[Location Name]]</f>
        <v>Mcdok.mdp34222</v>
      </c>
      <c r="O20" s="131" t="s">
        <v>236</v>
      </c>
      <c r="P20" t="s">
        <v>237</v>
      </c>
      <c r="Q20" t="s">
        <v>35</v>
      </c>
      <c r="R20" t="s">
        <v>23</v>
      </c>
      <c r="S20" s="2"/>
      <c r="T20" t="s">
        <v>174</v>
      </c>
      <c r="U20" t="str">
        <f>_xlfn.XLOOKUP(Table1[[#This Row],[Location Name]],'Risk Profiles'!$A$18:$A$37,'Risk Profiles'!$B$18:$B$37)</f>
        <v>Low</v>
      </c>
      <c r="V20" t="str">
        <f>_xlfn.XLOOKUP(Table1[[#This Row],[Location Name]],'Risk Profiles'!$A$18:$A$37,'Risk Profiles'!$C$18:$C$37)</f>
        <v>Within Normal range</v>
      </c>
      <c r="W20" t="str">
        <f>_xlfn.XLOOKUP(Table1[[#This Row],[Location Name]],'Risk Profiles'!$A$18:$A$37,'Risk Profiles'!$D$18:$D$37)</f>
        <v>Medium</v>
      </c>
      <c r="X20" t="str">
        <f>_xlfn.XLOOKUP(Table1[[#This Row],[Location Name]],'Risk Profiles'!$A$18:$A$37,'Risk Profiles'!$E$18:$E$37)</f>
        <v>High Discounts (6.58%)</v>
      </c>
      <c r="Y20" t="s">
        <v>238</v>
      </c>
      <c r="Z20" t="s">
        <v>35</v>
      </c>
      <c r="AA20" s="2">
        <f>_xlfn.XLOOKUP(A20,Table3[Location],Table3[Date Scheduled])</f>
        <v>46162</v>
      </c>
      <c r="AB20" t="s">
        <v>174</v>
      </c>
      <c r="AC20" t="s">
        <v>146</v>
      </c>
      <c r="AE20" s="102">
        <v>46129</v>
      </c>
      <c r="AF20" s="24" t="s">
        <v>26</v>
      </c>
      <c r="AG20" s="129">
        <v>46239</v>
      </c>
      <c r="AH20" t="s">
        <v>35</v>
      </c>
      <c r="AI20" t="s">
        <v>35</v>
      </c>
      <c r="AJ20" t="s">
        <v>35</v>
      </c>
      <c r="AK20" s="137">
        <f ca="1">IFERROR(INDEX('Scheduling Setup'!$L:$L,MATCH($A20,'Scheduling Setup'!$A:$A,0)),"")</f>
        <v>46246</v>
      </c>
      <c r="BA20" s="30">
        <v>5183</v>
      </c>
      <c r="BB20" s="30" t="str">
        <f t="shared" si="0"/>
        <v>Krystiana Langford</v>
      </c>
      <c r="BC20" s="30" t="str">
        <f t="shared" si="1"/>
        <v>Mukarram Norman</v>
      </c>
      <c r="BD20" s="30" t="str">
        <f t="shared" si="2"/>
        <v>Mukarram</v>
      </c>
      <c r="BE20" s="11" t="s">
        <v>181</v>
      </c>
      <c r="BF20" s="31">
        <v>46163</v>
      </c>
      <c r="BG20" s="32">
        <v>0.33333333333333331</v>
      </c>
      <c r="BH20" s="51">
        <f>_xlfn.XLOOKUP(Table3[[#This Row],[Location]],Table4[STORE '#],Table4[DATE RGR])</f>
        <v>46281</v>
      </c>
      <c r="BI20" s="52" t="str">
        <f>_xlfn.XLOOKUP(Table3[[#This Row],[Location]],Table1[Location Name],Table1[Weekly Inventory Count Day])</f>
        <v>Thursday</v>
      </c>
      <c r="BJ20" s="11" t="str">
        <f>_xlfn.XLOOKUP(Table3[[#This Row],[Location]],Table1[Location Name],Table1[FOB Risk Profile])</f>
        <v>Medium</v>
      </c>
      <c r="BK20" s="69" t="s">
        <v>182</v>
      </c>
      <c r="BL20" t="s">
        <v>239</v>
      </c>
      <c r="BM20" s="102">
        <v>46129</v>
      </c>
      <c r="BN20" s="102"/>
    </row>
    <row r="21" spans="1:66" ht="16" customHeight="1">
      <c r="A21" s="3">
        <v>35064</v>
      </c>
      <c r="B21" s="3" t="s">
        <v>149</v>
      </c>
      <c r="C21" s="104" t="s">
        <v>150</v>
      </c>
      <c r="D21" s="104" t="s">
        <v>151</v>
      </c>
      <c r="E21" s="3" t="s">
        <v>129</v>
      </c>
      <c r="F21" t="s">
        <v>168</v>
      </c>
      <c r="H21" t="str">
        <f>LEFT(Table1[[#This Row],[Supervisor]], SEARCH(" ", Table1[[#This Row],[Supervisor]]) - 1) &amp; "@" &amp; Table1[[#This Row],[Email Domain]]</f>
        <v>Steven@mcdok.com</v>
      </c>
      <c r="I21" t="s">
        <v>240</v>
      </c>
      <c r="J21" t="str">
        <f>LEFT(Table1[[#This Row],[GM]], SEARCH(" ", Table1[[#This Row],[GM]]) - 1) &amp; "@" &amp; Table1[[#This Row],[Email Domain]]</f>
        <v>Lynsey@mcdok.com</v>
      </c>
      <c r="K21" t="s">
        <v>132</v>
      </c>
      <c r="L21" t="s">
        <v>241</v>
      </c>
      <c r="M21" t="str">
        <f>"mcdok.mdp+"&amp;Table1[[#This Row],[Location Name]]&amp;"@gmail.com"</f>
        <v>mcdok.mdp+35064@gmail.com</v>
      </c>
      <c r="N21" s="116" t="str">
        <f>"Mcdok.mdp"&amp;Table1[[#This Row],[Location Name]]</f>
        <v>Mcdok.mdp35064</v>
      </c>
      <c r="O21" s="131" t="s">
        <v>242</v>
      </c>
      <c r="P21" t="s">
        <v>243</v>
      </c>
      <c r="Q21" t="s">
        <v>35</v>
      </c>
      <c r="R21" t="s">
        <v>35</v>
      </c>
      <c r="S21" s="2">
        <v>46106</v>
      </c>
      <c r="T21" t="s">
        <v>138</v>
      </c>
      <c r="U21" t="str">
        <f>_xlfn.XLOOKUP(Table1[[#This Row],[Location Name]],'Risk Profiles'!$A$18:$A$37,'Risk Profiles'!$B$18:$B$37)</f>
        <v>High</v>
      </c>
      <c r="V21" t="str">
        <f>_xlfn.XLOOKUP(Table1[[#This Row],[Location Name]],'Risk Profiles'!$A$18:$A$37,'Risk Profiles'!$C$18:$C$37)</f>
        <v>High FOB% (6.12%), Stat Var (2.73%), Waste (1.40%)</v>
      </c>
      <c r="W21" t="str">
        <f>_xlfn.XLOOKUP(Table1[[#This Row],[Location Name]],'Risk Profiles'!$A$18:$A$37,'Risk Profiles'!$D$18:$D$37)</f>
        <v>HIgh</v>
      </c>
      <c r="X21" t="str">
        <f>_xlfn.XLOOKUP(Table1[[#This Row],[Location Name]],'Risk Profiles'!$A$18:$A$37,'Risk Profiles'!$E$18:$E$37)</f>
        <v>T-Red After (0.42%), Cash O/S (0.05%)</v>
      </c>
      <c r="Y21" t="s">
        <v>244</v>
      </c>
      <c r="Z21" t="s">
        <v>35</v>
      </c>
      <c r="AA21" s="2">
        <f>_xlfn.XLOOKUP(A21,Table3[Location],Table3[Date Scheduled])</f>
        <v>46092</v>
      </c>
      <c r="AB21" t="s">
        <v>174</v>
      </c>
      <c r="AC21" t="s">
        <v>146</v>
      </c>
      <c r="AE21" s="102">
        <v>46129</v>
      </c>
      <c r="AF21" s="24" t="s">
        <v>44</v>
      </c>
      <c r="AG21" s="129">
        <v>46246</v>
      </c>
      <c r="AH21" t="s">
        <v>35</v>
      </c>
      <c r="AI21" t="s">
        <v>35</v>
      </c>
      <c r="AJ21" t="s">
        <v>35</v>
      </c>
      <c r="AK21" s="137">
        <f ca="1">IFERROR(INDEX('Scheduling Setup'!$L:$L,MATCH($A21,'Scheduling Setup'!$A:$A,0)),"")</f>
        <v>46253</v>
      </c>
      <c r="BA21" s="30">
        <v>33109</v>
      </c>
      <c r="BB21" s="30" t="str">
        <f t="shared" si="0"/>
        <v>Ashley Podroza</v>
      </c>
      <c r="BC21" s="30" t="str">
        <f t="shared" si="1"/>
        <v>Rey Araiz</v>
      </c>
      <c r="BD21" s="30" t="str">
        <f t="shared" si="2"/>
        <v>Gisselle</v>
      </c>
      <c r="BE21" s="11" t="s">
        <v>181</v>
      </c>
      <c r="BF21" s="31">
        <v>46170</v>
      </c>
      <c r="BG21" s="32">
        <v>0.33333333333333331</v>
      </c>
      <c r="BH21" s="51">
        <f>_xlfn.XLOOKUP(Table3[[#This Row],[Location]],Table4[STORE '#],Table4[DATE RGR])</f>
        <v>46295</v>
      </c>
      <c r="BI21" s="52" t="str">
        <f>_xlfn.XLOOKUP(Table3[[#This Row],[Location]],Table1[Location Name],Table1[Weekly Inventory Count Day])</f>
        <v>Tuesday</v>
      </c>
      <c r="BJ21" s="11" t="str">
        <f>_xlfn.XLOOKUP(Table3[[#This Row],[Location]],Table1[Location Name],Table1[FOB Risk Profile])</f>
        <v>Low</v>
      </c>
      <c r="BK21" s="69" t="s">
        <v>182</v>
      </c>
      <c r="BL21" t="s">
        <v>245</v>
      </c>
      <c r="BM21" s="102">
        <v>46129</v>
      </c>
      <c r="BN21" s="102"/>
    </row>
    <row r="22" spans="1:66" ht="16" customHeight="1">
      <c r="A22" s="3">
        <v>43380</v>
      </c>
      <c r="B22" s="3" t="s">
        <v>128</v>
      </c>
      <c r="C22" s="104" t="s">
        <v>150</v>
      </c>
      <c r="D22" s="104" t="s">
        <v>151</v>
      </c>
      <c r="E22" s="3" t="s">
        <v>129</v>
      </c>
      <c r="F22" t="s">
        <v>152</v>
      </c>
      <c r="H22" t="str">
        <f>LEFT(Table1[[#This Row],[Supervisor]], SEARCH(" ", Table1[[#This Row],[Supervisor]]) - 1) &amp; "@" &amp; Table1[[#This Row],[Email Domain]]</f>
        <v>Ashley@mcdok.com</v>
      </c>
      <c r="I22" t="s">
        <v>246</v>
      </c>
      <c r="J22" t="str">
        <f>LEFT(Table1[[#This Row],[GM]], SEARCH(" ", Table1[[#This Row],[GM]]) - 1) &amp; "@" &amp; Table1[[#This Row],[Email Domain]]</f>
        <v>Zukarr@mcdok.com</v>
      </c>
      <c r="K22" t="s">
        <v>132</v>
      </c>
      <c r="L22" t="s">
        <v>247</v>
      </c>
      <c r="M22" t="str">
        <f>"mcdok.mdp+"&amp;Table1[[#This Row],[Location Name]]&amp;"@gmail.com"</f>
        <v>mcdok.mdp+43380@gmail.com</v>
      </c>
      <c r="N22" s="116" t="str">
        <f>"Mcdok.mdp"&amp;Table1[[#This Row],[Location Name]]</f>
        <v>Mcdok.mdp43380</v>
      </c>
      <c r="O22" s="131" t="s">
        <v>248</v>
      </c>
      <c r="P22" t="s">
        <v>249</v>
      </c>
      <c r="Q22" t="s">
        <v>35</v>
      </c>
      <c r="R22" t="s">
        <v>23</v>
      </c>
      <c r="S22" s="2"/>
      <c r="T22" t="s">
        <v>167</v>
      </c>
      <c r="U22" t="str">
        <f>_xlfn.XLOOKUP(Table1[[#This Row],[Location Name]],'Risk Profiles'!$A$18:$A$37,'Risk Profiles'!$B$18:$B$37)</f>
        <v>Medium</v>
      </c>
      <c r="V22" t="str">
        <f>_xlfn.XLOOKUP(Table1[[#This Row],[Location Name]],'Risk Profiles'!$A$18:$A$37,'Risk Profiles'!$C$18:$C$37)</f>
        <v>Within Normal range</v>
      </c>
      <c r="W22" t="str">
        <f>_xlfn.XLOOKUP(Table1[[#This Row],[Location Name]],'Risk Profiles'!$A$18:$A$37,'Risk Profiles'!$D$18:$D$37)</f>
        <v>Medium</v>
      </c>
      <c r="X22" t="str">
        <f>_xlfn.XLOOKUP(Table1[[#This Row],[Location Name]],'Risk Profiles'!$A$18:$A$37,'Risk Profiles'!$E$18:$E$37)</f>
        <v>T-Red After (0.38%), Cash O/S (0.05%), Overrings (0.38%)</v>
      </c>
      <c r="Y22" t="s">
        <v>250</v>
      </c>
      <c r="Z22" t="s">
        <v>35</v>
      </c>
      <c r="AA22" s="2">
        <f>_xlfn.XLOOKUP(A22,Table3[Location],Table3[Date Scheduled])</f>
        <v>46088</v>
      </c>
      <c r="AB22" t="s">
        <v>136</v>
      </c>
      <c r="AC22" t="s">
        <v>148</v>
      </c>
      <c r="AE22" s="102">
        <v>46129</v>
      </c>
      <c r="AF22" s="24" t="s">
        <v>34</v>
      </c>
      <c r="AG22" s="129">
        <v>46240</v>
      </c>
      <c r="AH22" t="s">
        <v>35</v>
      </c>
      <c r="AI22" t="s">
        <v>35</v>
      </c>
      <c r="AJ22" t="s">
        <v>35</v>
      </c>
      <c r="AK22" s="137">
        <f ca="1">IFERROR(INDEX('Scheduling Setup'!$L:$L,MATCH($A22,'Scheduling Setup'!$A:$A,0)),"")</f>
        <v>46246</v>
      </c>
      <c r="BA22" s="30">
        <v>18213</v>
      </c>
      <c r="BB22" s="30" t="str">
        <f t="shared" si="0"/>
        <v>Krystiana Langford</v>
      </c>
      <c r="BC22" s="30" t="str">
        <f t="shared" si="1"/>
        <v>Cora Bahling</v>
      </c>
      <c r="BD22" s="30" t="str">
        <f t="shared" si="2"/>
        <v>Crystal</v>
      </c>
      <c r="BE22" s="11" t="s">
        <v>181</v>
      </c>
      <c r="BF22" s="100">
        <v>46177</v>
      </c>
      <c r="BG22" s="32">
        <v>0.33333333333333331</v>
      </c>
      <c r="BH22" s="51">
        <f>_xlfn.XLOOKUP(Table3[[#This Row],[Location]],Table4[STORE '#],Table4[DATE RGR])</f>
        <v>46338</v>
      </c>
      <c r="BI22" s="52" t="str">
        <f>_xlfn.XLOOKUP(Table3[[#This Row],[Location]],Table1[Location Name],Table1[Weekly Inventory Count Day])</f>
        <v>Thursday</v>
      </c>
      <c r="BJ22" s="11" t="str">
        <f>_xlfn.XLOOKUP(Table3[[#This Row],[Location]],Table1[Location Name],Table1[FOB Risk Profile])</f>
        <v>Medium</v>
      </c>
      <c r="BK22" s="69" t="s">
        <v>182</v>
      </c>
      <c r="BL22" t="s">
        <v>251</v>
      </c>
      <c r="BM22" s="102">
        <v>46129</v>
      </c>
      <c r="BN22" s="102"/>
    </row>
    <row r="23" spans="1:66">
      <c r="A23">
        <v>6178</v>
      </c>
      <c r="B23" t="s">
        <v>252</v>
      </c>
      <c r="C23" t="str">
        <f>LEFT(Table1[[#This Row],[Owner/Operator]], SEARCH(" ", Table1[[#This Row],[Owner/Operator]]) - 1) &amp; "@" &amp; Table1[[#This Row],[Email Domain]]</f>
        <v>Jacob@emeraldarches.com</v>
      </c>
      <c r="E23" t="s">
        <v>253</v>
      </c>
      <c r="F23" t="s">
        <v>254</v>
      </c>
      <c r="G23" s="2">
        <v>46225</v>
      </c>
      <c r="H23" t="str">
        <f>LEFT(Table1[[#This Row],[Supervisor]], SEARCH(" ", Table1[[#This Row],[Supervisor]]) - 1) &amp; "@" &amp; Table1[[#This Row],[Email Domain]]</f>
        <v>Mary@emeraldarches.com</v>
      </c>
      <c r="I23" t="s">
        <v>255</v>
      </c>
      <c r="J23" t="str">
        <f>LEFT(Table1[[#This Row],[GM]], SEARCH(" ", Table1[[#This Row],[GM]]) - 1) &amp; "@" &amp; Table1[[#This Row],[Email Domain]]</f>
        <v>Janet@emeraldarches.com</v>
      </c>
      <c r="K23" t="s">
        <v>256</v>
      </c>
      <c r="L23">
        <v>472</v>
      </c>
      <c r="M23" t="str">
        <f>"mcdok.mdp+"&amp;Table1[[#This Row],[Location Name]]&amp;"@gmail.com"</f>
        <v>mcdok.mdp+6178@gmail.com</v>
      </c>
      <c r="N23" s="116" t="str">
        <f>"Mcdok.mdp"&amp;Table1[[#This Row],[Location Name]]</f>
        <v>Mcdok.mdp6178</v>
      </c>
      <c r="O23" s="131" t="s">
        <v>257</v>
      </c>
      <c r="P23" t="s">
        <v>258</v>
      </c>
      <c r="S23" s="2"/>
      <c r="U23" t="e">
        <f>_xlfn.XLOOKUP(Table1[[#This Row],[Location Name]],'Risk Profiles'!$A$18:$A$37,'Risk Profiles'!$B$18:$B$37)</f>
        <v>#N/A</v>
      </c>
      <c r="V23" t="e">
        <f>_xlfn.XLOOKUP(Table1[[#This Row],[Location Name]],'Risk Profiles'!$A$18:$A$37,'Risk Profiles'!$C$18:$C$37)</f>
        <v>#N/A</v>
      </c>
      <c r="W23" t="e">
        <f>_xlfn.XLOOKUP(Table1[[#This Row],[Location Name]],'Risk Profiles'!$A$18:$A$37,'Risk Profiles'!$D$18:$D$37)</f>
        <v>#N/A</v>
      </c>
      <c r="X23" t="e">
        <f>_xlfn.XLOOKUP(Table1[[#This Row],[Location Name]],'Risk Profiles'!$A$18:$A$37,'Risk Profiles'!$E$18:$E$37)</f>
        <v>#N/A</v>
      </c>
      <c r="AA23" t="e">
        <f>_xlfn.XLOOKUP(A23,Table3[Location],Table3[Date Scheduled])</f>
        <v>#N/A</v>
      </c>
      <c r="AH23" s="47"/>
      <c r="AI23" s="47"/>
      <c r="AJ23" s="47"/>
      <c r="AK23" s="138" t="str">
        <f ca="1">IFERROR(INDEX('Scheduling Setup'!$L:$L,MATCH($A23,'Scheduling Setup'!$A:$A,0)),"")</f>
        <v/>
      </c>
      <c r="AL23" s="47"/>
      <c r="AM23" s="47"/>
      <c r="AN23" s="47"/>
      <c r="AO23" s="48"/>
      <c r="AP23" s="47"/>
      <c r="AQ23" s="47"/>
      <c r="AR23" s="63"/>
    </row>
    <row r="24" spans="1:66" ht="16" customHeight="1">
      <c r="A24">
        <v>6838</v>
      </c>
      <c r="B24" t="s">
        <v>252</v>
      </c>
      <c r="C24" t="str">
        <f>LEFT(Table1[[#This Row],[Owner/Operator]], SEARCH(" ", Table1[[#This Row],[Owner/Operator]]) - 1) &amp; "@" &amp; Table1[[#This Row],[Email Domain]]</f>
        <v>Jacob@emeraldarches.com</v>
      </c>
      <c r="E24" t="s">
        <v>253</v>
      </c>
      <c r="F24" t="s">
        <v>254</v>
      </c>
      <c r="G24" s="2">
        <v>46225</v>
      </c>
      <c r="H24" t="str">
        <f>LEFT(Table1[[#This Row],[Supervisor]], SEARCH(" ", Table1[[#This Row],[Supervisor]]) - 1) &amp; "@" &amp; Table1[[#This Row],[Email Domain]]</f>
        <v>Mary@emeraldarches.com</v>
      </c>
      <c r="I24" t="s">
        <v>259</v>
      </c>
      <c r="J24" t="str">
        <f>LEFT(Table1[[#This Row],[GM]], SEARCH(" ", Table1[[#This Row],[GM]]) - 1) &amp; "@" &amp; Table1[[#This Row],[Email Domain]]</f>
        <v>Stephanie@emeraldarches.com</v>
      </c>
      <c r="K24" t="s">
        <v>256</v>
      </c>
      <c r="L24">
        <v>490</v>
      </c>
      <c r="M24" t="str">
        <f>"mcdok.mdp+"&amp;Table1[[#This Row],[Location Name]]&amp;"@gmail.com"</f>
        <v>mcdok.mdp+6838@gmail.com</v>
      </c>
      <c r="N24" s="116" t="str">
        <f>"Mcdok.mdp"&amp;Table1[[#This Row],[Location Name]]</f>
        <v>Mcdok.mdp6838</v>
      </c>
      <c r="O24" s="131" t="s">
        <v>260</v>
      </c>
      <c r="P24" t="s">
        <v>261</v>
      </c>
      <c r="S24" s="2"/>
      <c r="U24" t="e">
        <f>_xlfn.XLOOKUP(Table1[[#This Row],[Location Name]],'Risk Profiles'!$A$18:$A$37,'Risk Profiles'!$B$18:$B$37)</f>
        <v>#N/A</v>
      </c>
      <c r="V24" t="e">
        <f>_xlfn.XLOOKUP(Table1[[#This Row],[Location Name]],'Risk Profiles'!$A$18:$A$37,'Risk Profiles'!$C$18:$C$37)</f>
        <v>#N/A</v>
      </c>
      <c r="W24" t="e">
        <f>_xlfn.XLOOKUP(Table1[[#This Row],[Location Name]],'Risk Profiles'!$A$18:$A$37,'Risk Profiles'!$D$18:$D$37)</f>
        <v>#N/A</v>
      </c>
      <c r="X24" t="e">
        <f>_xlfn.XLOOKUP(Table1[[#This Row],[Location Name]],'Risk Profiles'!$A$18:$A$37,'Risk Profiles'!$E$18:$E$37)</f>
        <v>#N/A</v>
      </c>
      <c r="AA24" t="e">
        <f>_xlfn.XLOOKUP(A24,Table3[Location],Table3[Date Scheduled])</f>
        <v>#N/A</v>
      </c>
      <c r="AH24" s="65"/>
      <c r="AI24" s="65"/>
      <c r="AJ24" s="65"/>
      <c r="AK24" s="138" t="str">
        <f ca="1">IFERROR(INDEX('Scheduling Setup'!$L:$L,MATCH($A24,'Scheduling Setup'!$A:$A,0)),"")</f>
        <v/>
      </c>
      <c r="AL24" s="65"/>
      <c r="AM24" s="65"/>
      <c r="AN24" s="66"/>
      <c r="AO24" s="67"/>
      <c r="AP24" s="68"/>
      <c r="AQ24" s="46"/>
      <c r="AR24" s="61"/>
    </row>
    <row r="25" spans="1:66" ht="16" customHeight="1">
      <c r="A25">
        <v>10034</v>
      </c>
      <c r="B25" t="s">
        <v>128</v>
      </c>
      <c r="C25" t="str">
        <f>LEFT(Table1[[#This Row],[Owner/Operator]], SEARCH(" ", Table1[[#This Row],[Owner/Operator]]) - 1) &amp; "@" &amp; Table1[[#This Row],[Email Domain]]</f>
        <v>Ryan@emeraldarches.com</v>
      </c>
      <c r="E25" t="s">
        <v>253</v>
      </c>
      <c r="F25" t="s">
        <v>254</v>
      </c>
      <c r="G25" s="2">
        <v>46225</v>
      </c>
      <c r="H25" t="str">
        <f>LEFT(Table1[[#This Row],[Supervisor]], SEARCH(" ", Table1[[#This Row],[Supervisor]]) - 1) &amp; "@" &amp; Table1[[#This Row],[Email Domain]]</f>
        <v>Mary@emeraldarches.com</v>
      </c>
      <c r="I25" t="s">
        <v>262</v>
      </c>
      <c r="J25" t="str">
        <f>LEFT(Table1[[#This Row],[GM]], SEARCH(" ", Table1[[#This Row],[GM]]) - 1) &amp; "@" &amp; Table1[[#This Row],[Email Domain]]</f>
        <v>Harlee@emeraldarches.com</v>
      </c>
      <c r="K25" t="s">
        <v>256</v>
      </c>
      <c r="L25">
        <v>483</v>
      </c>
      <c r="M25" t="str">
        <f>"mcdok.mdp+"&amp;Table1[[#This Row],[Location Name]]&amp;"@gmail.com"</f>
        <v>mcdok.mdp+10034@gmail.com</v>
      </c>
      <c r="N25" s="116" t="str">
        <f>"Mcdok.mdp"&amp;Table1[[#This Row],[Location Name]]</f>
        <v>Mcdok.mdp10034</v>
      </c>
      <c r="O25" s="131" t="s">
        <v>263</v>
      </c>
      <c r="P25" t="s">
        <v>264</v>
      </c>
      <c r="S25" s="2"/>
      <c r="U25" t="e">
        <f>_xlfn.XLOOKUP(Table1[[#This Row],[Location Name]],'Risk Profiles'!$A$18:$A$37,'Risk Profiles'!$B$18:$B$37)</f>
        <v>#N/A</v>
      </c>
      <c r="V25" t="e">
        <f>_xlfn.XLOOKUP(Table1[[#This Row],[Location Name]],'Risk Profiles'!$A$18:$A$37,'Risk Profiles'!$C$18:$C$37)</f>
        <v>#N/A</v>
      </c>
      <c r="W25" t="e">
        <f>_xlfn.XLOOKUP(Table1[[#This Row],[Location Name]],'Risk Profiles'!$A$18:$A$37,'Risk Profiles'!$D$18:$D$37)</f>
        <v>#N/A</v>
      </c>
      <c r="X25" t="e">
        <f>_xlfn.XLOOKUP(Table1[[#This Row],[Location Name]],'Risk Profiles'!$A$18:$A$37,'Risk Profiles'!$E$18:$E$37)</f>
        <v>#N/A</v>
      </c>
      <c r="AA25" t="e">
        <f>_xlfn.XLOOKUP(A25,Table3[Location],Table3[Date Scheduled])</f>
        <v>#N/A</v>
      </c>
      <c r="AH25" s="65"/>
      <c r="AI25" s="65"/>
      <c r="AJ25" s="65"/>
      <c r="AK25" s="138" t="str">
        <f ca="1">IFERROR(INDEX('Scheduling Setup'!$L:$L,MATCH($A25,'Scheduling Setup'!$A:$A,0)),"")</f>
        <v/>
      </c>
      <c r="AL25" s="65"/>
      <c r="AM25" s="65"/>
      <c r="AN25" s="66"/>
      <c r="AO25" s="67"/>
      <c r="AP25" s="68"/>
      <c r="AQ25" s="46"/>
      <c r="AR25" s="61"/>
    </row>
    <row r="26" spans="1:66" ht="16" customHeight="1">
      <c r="A26">
        <v>35242</v>
      </c>
      <c r="B26" t="s">
        <v>252</v>
      </c>
      <c r="C26" t="str">
        <f>LEFT(Table1[[#This Row],[Owner/Operator]], SEARCH(" ", Table1[[#This Row],[Owner/Operator]]) - 1) &amp; "@" &amp; Table1[[#This Row],[Email Domain]]</f>
        <v>Jacob@emeraldarches.com</v>
      </c>
      <c r="E26" t="s">
        <v>253</v>
      </c>
      <c r="F26" t="s">
        <v>265</v>
      </c>
      <c r="H26" t="str">
        <f>LEFT(Table1[[#This Row],[Supervisor]], SEARCH(" ", Table1[[#This Row],[Supervisor]]) - 1) &amp; "@" &amp; Table1[[#This Row],[Email Domain]]</f>
        <v>Brad@emeraldarches.com</v>
      </c>
      <c r="I26" t="s">
        <v>266</v>
      </c>
      <c r="J26" t="str">
        <f>LEFT(Table1[[#This Row],[GM]], SEARCH(" ", Table1[[#This Row],[GM]]) - 1) &amp; "@" &amp; Table1[[#This Row],[Email Domain]]</f>
        <v>Michele@emeraldarches.com</v>
      </c>
      <c r="K26" t="s">
        <v>256</v>
      </c>
      <c r="L26">
        <v>469</v>
      </c>
      <c r="M26" t="str">
        <f>"mcdok.mdp+"&amp;Table1[[#This Row],[Location Name]]&amp;"@gmail.com"</f>
        <v>mcdok.mdp+35242@gmail.com</v>
      </c>
      <c r="N26" s="116" t="str">
        <f>"Mcdok.mdp"&amp;Table1[[#This Row],[Location Name]]</f>
        <v>Mcdok.mdp35242</v>
      </c>
      <c r="O26" s="131" t="s">
        <v>267</v>
      </c>
      <c r="P26" t="s">
        <v>268</v>
      </c>
      <c r="S26" s="2"/>
      <c r="U26" t="e">
        <f>_xlfn.XLOOKUP(Table1[[#This Row],[Location Name]],'Risk Profiles'!$A$18:$A$37,'Risk Profiles'!$B$18:$B$37)</f>
        <v>#N/A</v>
      </c>
      <c r="V26" t="e">
        <f>_xlfn.XLOOKUP(Table1[[#This Row],[Location Name]],'Risk Profiles'!$A$18:$A$37,'Risk Profiles'!$C$18:$C$37)</f>
        <v>#N/A</v>
      </c>
      <c r="W26" t="e">
        <f>_xlfn.XLOOKUP(Table1[[#This Row],[Location Name]],'Risk Profiles'!$A$18:$A$37,'Risk Profiles'!$D$18:$D$37)</f>
        <v>#N/A</v>
      </c>
      <c r="X26" t="e">
        <f>_xlfn.XLOOKUP(Table1[[#This Row],[Location Name]],'Risk Profiles'!$A$18:$A$37,'Risk Profiles'!$E$18:$E$37)</f>
        <v>#N/A</v>
      </c>
      <c r="AA26" t="e">
        <f>_xlfn.XLOOKUP(A26,Table3[Location],Table3[Date Scheduled])</f>
        <v>#N/A</v>
      </c>
      <c r="AH26" s="65"/>
      <c r="AI26" s="65"/>
      <c r="AJ26" s="65"/>
      <c r="AK26" s="138" t="str">
        <f ca="1">IFERROR(INDEX('Scheduling Setup'!$L:$L,MATCH($A26,'Scheduling Setup'!$A:$A,0)),"")</f>
        <v/>
      </c>
      <c r="AL26" s="65"/>
      <c r="AM26" s="65"/>
      <c r="AN26" s="66"/>
      <c r="AO26" s="67"/>
      <c r="AP26" s="68"/>
      <c r="AQ26" s="46"/>
      <c r="AR26" s="61"/>
    </row>
    <row r="27" spans="1:66" ht="16" customHeight="1">
      <c r="A27">
        <v>37566</v>
      </c>
      <c r="B27" t="s">
        <v>128</v>
      </c>
      <c r="C27" t="str">
        <f>LEFT(Table1[[#This Row],[Owner/Operator]], SEARCH(" ", Table1[[#This Row],[Owner/Operator]]) - 1) &amp; "@" &amp; Table1[[#This Row],[Email Domain]]</f>
        <v>Ryan@emeraldarches.com</v>
      </c>
      <c r="E27" t="s">
        <v>253</v>
      </c>
      <c r="F27" t="s">
        <v>254</v>
      </c>
      <c r="G27" s="2">
        <v>46225</v>
      </c>
      <c r="H27" t="str">
        <f>LEFT(Table1[[#This Row],[Supervisor]], SEARCH(" ", Table1[[#This Row],[Supervisor]]) - 1) &amp; "@" &amp; Table1[[#This Row],[Email Domain]]</f>
        <v>Mary@emeraldarches.com</v>
      </c>
      <c r="I27" t="s">
        <v>269</v>
      </c>
      <c r="J27" t="str">
        <f>LEFT(Table1[[#This Row],[GM]], SEARCH(" ", Table1[[#This Row],[GM]]) - 1) &amp; "@" &amp; Table1[[#This Row],[Email Domain]]</f>
        <v>Debra@emeraldarches.com</v>
      </c>
      <c r="K27" t="s">
        <v>256</v>
      </c>
      <c r="L27">
        <v>484</v>
      </c>
      <c r="M27" t="str">
        <f>"mcdok.mdp+"&amp;Table1[[#This Row],[Location Name]]&amp;"@gmail.com"</f>
        <v>mcdok.mdp+37566@gmail.com</v>
      </c>
      <c r="N27" s="116" t="str">
        <f>"Mcdok.mdp"&amp;Table1[[#This Row],[Location Name]]</f>
        <v>Mcdok.mdp37566</v>
      </c>
      <c r="O27" s="131" t="s">
        <v>270</v>
      </c>
      <c r="P27" t="s">
        <v>271</v>
      </c>
      <c r="S27" s="2"/>
      <c r="U27" t="e">
        <f>_xlfn.XLOOKUP(Table1[[#This Row],[Location Name]],'Risk Profiles'!$A$18:$A$37,'Risk Profiles'!$B$18:$B$37)</f>
        <v>#N/A</v>
      </c>
      <c r="V27" t="e">
        <f>_xlfn.XLOOKUP(Table1[[#This Row],[Location Name]],'Risk Profiles'!$A$18:$A$37,'Risk Profiles'!$C$18:$C$37)</f>
        <v>#N/A</v>
      </c>
      <c r="W27" t="e">
        <f>_xlfn.XLOOKUP(Table1[[#This Row],[Location Name]],'Risk Profiles'!$A$18:$A$37,'Risk Profiles'!$D$18:$D$37)</f>
        <v>#N/A</v>
      </c>
      <c r="X27" t="e">
        <f>_xlfn.XLOOKUP(Table1[[#This Row],[Location Name]],'Risk Profiles'!$A$18:$A$37,'Risk Profiles'!$E$18:$E$37)</f>
        <v>#N/A</v>
      </c>
      <c r="AA27" t="e">
        <f>_xlfn.XLOOKUP(A27,Table3[Location],Table3[Date Scheduled])</f>
        <v>#N/A</v>
      </c>
      <c r="AH27" s="65"/>
      <c r="AI27" s="65"/>
      <c r="AJ27" s="65"/>
      <c r="AK27" s="138" t="str">
        <f ca="1">IFERROR(INDEX('Scheduling Setup'!$L:$L,MATCH($A27,'Scheduling Setup'!$A:$A,0)),"")</f>
        <v/>
      </c>
      <c r="AL27" s="65"/>
      <c r="AM27" s="65"/>
      <c r="AN27" s="66"/>
      <c r="AO27" s="67"/>
      <c r="AP27" s="68"/>
      <c r="AQ27" s="46"/>
      <c r="AR27" s="61"/>
    </row>
    <row r="28" spans="1:66" ht="16" customHeight="1">
      <c r="A28">
        <v>38609</v>
      </c>
      <c r="B28" t="s">
        <v>252</v>
      </c>
      <c r="C28" t="str">
        <f>LEFT(Table1[[#This Row],[Owner/Operator]], SEARCH(" ", Table1[[#This Row],[Owner/Operator]]) - 1) &amp; "@" &amp; Table1[[#This Row],[Email Domain]]</f>
        <v>Jacob@emeraldarches.com</v>
      </c>
      <c r="E28" t="s">
        <v>253</v>
      </c>
      <c r="F28" t="s">
        <v>265</v>
      </c>
      <c r="H28" t="str">
        <f>LEFT(Table1[[#This Row],[Supervisor]], SEARCH(" ", Table1[[#This Row],[Supervisor]]) - 1) &amp; "@" &amp; Table1[[#This Row],[Email Domain]]</f>
        <v>Brad@emeraldarches.com</v>
      </c>
      <c r="I28" t="s">
        <v>272</v>
      </c>
      <c r="J28" t="str">
        <f>LEFT(Table1[[#This Row],[GM]], SEARCH(" ", Table1[[#This Row],[GM]]) - 1) &amp; "@" &amp; Table1[[#This Row],[Email Domain]]</f>
        <v>Christina@emeraldarches.com</v>
      </c>
      <c r="K28" t="s">
        <v>256</v>
      </c>
      <c r="L28">
        <v>467</v>
      </c>
      <c r="M28" t="str">
        <f>"mcdok.mdp+"&amp;Table1[[#This Row],[Location Name]]&amp;"@gmail.com"</f>
        <v>mcdok.mdp+38609@gmail.com</v>
      </c>
      <c r="N28" s="116" t="str">
        <f>"Mcdok.mdp"&amp;Table1[[#This Row],[Location Name]]</f>
        <v>Mcdok.mdp38609</v>
      </c>
      <c r="O28" s="131" t="s">
        <v>273</v>
      </c>
      <c r="P28" t="s">
        <v>274</v>
      </c>
      <c r="S28" s="2"/>
      <c r="U28" t="e">
        <f>_xlfn.XLOOKUP(Table1[[#This Row],[Location Name]],'Risk Profiles'!$A$18:$A$37,'Risk Profiles'!$B$18:$B$37)</f>
        <v>#N/A</v>
      </c>
      <c r="V28" t="e">
        <f>_xlfn.XLOOKUP(Table1[[#This Row],[Location Name]],'Risk Profiles'!$A$18:$A$37,'Risk Profiles'!$C$18:$C$37)</f>
        <v>#N/A</v>
      </c>
      <c r="W28" t="e">
        <f>_xlfn.XLOOKUP(Table1[[#This Row],[Location Name]],'Risk Profiles'!$A$18:$A$37,'Risk Profiles'!$D$18:$D$37)</f>
        <v>#N/A</v>
      </c>
      <c r="X28" t="e">
        <f>_xlfn.XLOOKUP(Table1[[#This Row],[Location Name]],'Risk Profiles'!$A$18:$A$37,'Risk Profiles'!$E$18:$E$37)</f>
        <v>#N/A</v>
      </c>
      <c r="AA28" t="e">
        <f>_xlfn.XLOOKUP(A28,Table3[Location],Table3[Date Scheduled])</f>
        <v>#N/A</v>
      </c>
      <c r="AH28" s="65"/>
      <c r="AI28" s="65"/>
      <c r="AJ28" s="65"/>
      <c r="AK28" s="138" t="str">
        <f ca="1">IFERROR(INDEX('Scheduling Setup'!$L:$L,MATCH($A28,'Scheduling Setup'!$A:$A,0)),"")</f>
        <v/>
      </c>
      <c r="AL28" s="65"/>
      <c r="AM28" s="65"/>
      <c r="AN28" s="66"/>
      <c r="AO28" s="67"/>
      <c r="AP28" s="68"/>
      <c r="AQ28" s="46"/>
      <c r="AR28" s="61"/>
      <c r="AS28" s="57"/>
      <c r="AV28" s="57"/>
    </row>
    <row r="29" spans="1:66" ht="16" customHeight="1">
      <c r="A29">
        <v>43701</v>
      </c>
      <c r="B29" t="s">
        <v>128</v>
      </c>
      <c r="C29" t="str">
        <f>LEFT(Table1[[#This Row],[Owner/Operator]], SEARCH(" ", Table1[[#This Row],[Owner/Operator]]) - 1) &amp; "@" &amp; Table1[[#This Row],[Email Domain]]</f>
        <v>Ryan@emeraldarches.com</v>
      </c>
      <c r="E29" t="s">
        <v>253</v>
      </c>
      <c r="F29" t="s">
        <v>265</v>
      </c>
      <c r="H29" t="str">
        <f>LEFT(Table1[[#This Row],[Supervisor]], SEARCH(" ", Table1[[#This Row],[Supervisor]]) - 1) &amp; "@" &amp; Table1[[#This Row],[Email Domain]]</f>
        <v>Brad@emeraldarches.com</v>
      </c>
      <c r="I29" t="s">
        <v>275</v>
      </c>
      <c r="J29" t="str">
        <f>LEFT(Table1[[#This Row],[GM]], SEARCH(" ", Table1[[#This Row],[GM]]) - 1) &amp; "@" &amp; Table1[[#This Row],[Email Domain]]</f>
        <v>Shannon@emeraldarches.com</v>
      </c>
      <c r="K29" t="s">
        <v>256</v>
      </c>
      <c r="L29">
        <v>1523</v>
      </c>
      <c r="M29" t="str">
        <f>"mcdok.mdp+"&amp;Table1[[#This Row],[Location Name]]&amp;"@gmail.com"</f>
        <v>mcdok.mdp+43701@gmail.com</v>
      </c>
      <c r="N29" s="116" t="str">
        <f>"Mcdok.mdp"&amp;Table1[[#This Row],[Location Name]]</f>
        <v>Mcdok.mdp43701</v>
      </c>
      <c r="O29" s="132" t="s">
        <v>276</v>
      </c>
      <c r="P29" t="s">
        <v>277</v>
      </c>
      <c r="S29" s="2"/>
      <c r="U29" t="e">
        <f>_xlfn.XLOOKUP(Table1[[#This Row],[Location Name]],'Risk Profiles'!$A$18:$A$37,'Risk Profiles'!$B$18:$B$37)</f>
        <v>#N/A</v>
      </c>
      <c r="V29" t="e">
        <f>_xlfn.XLOOKUP(Table1[[#This Row],[Location Name]],'Risk Profiles'!$A$18:$A$37,'Risk Profiles'!$C$18:$C$37)</f>
        <v>#N/A</v>
      </c>
      <c r="W29" t="e">
        <f>_xlfn.XLOOKUP(Table1[[#This Row],[Location Name]],'Risk Profiles'!$A$18:$A$37,'Risk Profiles'!$D$18:$D$37)</f>
        <v>#N/A</v>
      </c>
      <c r="X29" t="e">
        <f>_xlfn.XLOOKUP(Table1[[#This Row],[Location Name]],'Risk Profiles'!$A$18:$A$37,'Risk Profiles'!$E$18:$E$37)</f>
        <v>#N/A</v>
      </c>
      <c r="AA29" t="e">
        <f>_xlfn.XLOOKUP(A29,Table3[Location],Table3[Date Scheduled])</f>
        <v>#N/A</v>
      </c>
      <c r="AH29" s="65"/>
      <c r="AI29" s="65"/>
      <c r="AJ29" s="65"/>
      <c r="AK29" s="138" t="str">
        <f ca="1">IFERROR(INDEX('Scheduling Setup'!$L:$L,MATCH($A29,'Scheduling Setup'!$A:$A,0)),"")</f>
        <v/>
      </c>
      <c r="AL29" s="65"/>
      <c r="AM29" s="65"/>
      <c r="AN29" s="66"/>
      <c r="AO29" s="67"/>
      <c r="AP29" s="68"/>
      <c r="AQ29" s="46"/>
      <c r="AR29" s="61"/>
      <c r="AS29" s="57"/>
      <c r="AV29" s="57"/>
    </row>
    <row r="30" spans="1:66" ht="16" customHeight="1">
      <c r="A30" t="s">
        <v>278</v>
      </c>
      <c r="B30" t="s">
        <v>279</v>
      </c>
      <c r="C30" t="str">
        <f>LEFT(Table1[[#This Row],[Owner/Operator]], SEARCH(" ", Table1[[#This Row],[Owner/Operator]]) - 1) &amp; "@" &amp; Table1[[#This Row],[Email Domain]]</f>
        <v>Molly@mcdok.com</v>
      </c>
      <c r="E30" s="3" t="s">
        <v>129</v>
      </c>
      <c r="K30" t="s">
        <v>132</v>
      </c>
      <c r="S30" s="2"/>
      <c r="U30" t="e">
        <f>_xlfn.XLOOKUP(Table1[[#This Row],[Location Name]],'Risk Profiles'!$A$18:$A$37,'Risk Profiles'!$B$18:$B$37)</f>
        <v>#N/A</v>
      </c>
      <c r="V30" t="e">
        <f>_xlfn.XLOOKUP(Table1[[#This Row],[Location Name]],'Risk Profiles'!$A$18:$A$37,'Risk Profiles'!$C$18:$C$37)</f>
        <v>#N/A</v>
      </c>
      <c r="W30" t="e">
        <f>_xlfn.XLOOKUP(Table1[[#This Row],[Location Name]],'Risk Profiles'!$A$18:$A$37,'Risk Profiles'!$D$18:$D$37)</f>
        <v>#N/A</v>
      </c>
      <c r="X30" t="e">
        <f>_xlfn.XLOOKUP(Table1[[#This Row],[Location Name]],'Risk Profiles'!$A$18:$A$37,'Risk Profiles'!$E$18:$E$37)</f>
        <v>#N/A</v>
      </c>
      <c r="AA30" t="e">
        <f>_xlfn.XLOOKUP(A30,Table3[Location],Table3[Date Scheduled])</f>
        <v>#N/A</v>
      </c>
      <c r="AH30" s="65"/>
      <c r="AI30" s="65"/>
      <c r="AJ30" s="65"/>
      <c r="AK30" s="138" t="str">
        <f ca="1">IFERROR(INDEX('Scheduling Setup'!$L:$L,MATCH($A30,'Scheduling Setup'!$A:$A,0)),"")</f>
        <v/>
      </c>
      <c r="AL30" s="65"/>
      <c r="AM30" s="65"/>
      <c r="AN30" s="66"/>
      <c r="AO30" s="67"/>
      <c r="AP30" s="68"/>
      <c r="AQ30" s="46"/>
      <c r="AR30" s="61"/>
      <c r="AS30" s="57"/>
      <c r="AV30" s="57"/>
    </row>
    <row r="31" spans="1:66" ht="16" customHeight="1">
      <c r="A31" t="s">
        <v>278</v>
      </c>
      <c r="B31" t="s">
        <v>280</v>
      </c>
      <c r="C31" t="str">
        <f>LEFT(Table1[[#This Row],[Owner/Operator]], SEARCH(" ", Table1[[#This Row],[Owner/Operator]]) - 1) &amp; "@" &amp; Table1[[#This Row],[Email Domain]]</f>
        <v>Hugh@mcdok.com</v>
      </c>
      <c r="E31" s="3" t="s">
        <v>129</v>
      </c>
      <c r="K31" t="s">
        <v>132</v>
      </c>
      <c r="S31" s="2"/>
      <c r="U31" t="e">
        <f>_xlfn.XLOOKUP(Table1[[#This Row],[Location Name]],'Risk Profiles'!$A$18:$A$37,'Risk Profiles'!$B$18:$B$37)</f>
        <v>#N/A</v>
      </c>
      <c r="V31" t="e">
        <f>_xlfn.XLOOKUP(Table1[[#This Row],[Location Name]],'Risk Profiles'!$A$18:$A$37,'Risk Profiles'!$C$18:$C$37)</f>
        <v>#N/A</v>
      </c>
      <c r="W31" t="e">
        <f>_xlfn.XLOOKUP(Table1[[#This Row],[Location Name]],'Risk Profiles'!$A$18:$A$37,'Risk Profiles'!$D$18:$D$37)</f>
        <v>#N/A</v>
      </c>
      <c r="X31" t="e">
        <f>_xlfn.XLOOKUP(Table1[[#This Row],[Location Name]],'Risk Profiles'!$A$18:$A$37,'Risk Profiles'!$E$18:$E$37)</f>
        <v>#N/A</v>
      </c>
      <c r="AA31" t="e">
        <f>_xlfn.XLOOKUP(A31,Table3[Location],Table3[Date Scheduled])</f>
        <v>#N/A</v>
      </c>
      <c r="AH31" s="65"/>
      <c r="AI31" s="65"/>
      <c r="AJ31" s="65"/>
      <c r="AK31" s="138" t="str">
        <f ca="1">IFERROR(INDEX('Scheduling Setup'!$L:$L,MATCH($A31,'Scheduling Setup'!$A:$A,0)),"")</f>
        <v/>
      </c>
      <c r="AL31" s="65"/>
      <c r="AM31" s="65"/>
      <c r="AN31" s="66"/>
      <c r="AO31" s="67"/>
      <c r="AP31" s="68"/>
      <c r="AQ31" s="46"/>
      <c r="AR31" s="61"/>
      <c r="AS31" s="57"/>
      <c r="AV31" s="57"/>
    </row>
    <row r="32" spans="1:66" ht="16" customHeight="1">
      <c r="A32" t="s">
        <v>278</v>
      </c>
      <c r="B32" t="s">
        <v>281</v>
      </c>
      <c r="C32" t="str">
        <f>LEFT(Table1[[#This Row],[Owner/Operator]], SEARCH(" ", Table1[[#This Row],[Owner/Operator]]) - 1) &amp; "@" &amp; Table1[[#This Row],[Email Domain]]</f>
        <v>Fletcher@mcdok.com</v>
      </c>
      <c r="E32" s="3" t="s">
        <v>129</v>
      </c>
      <c r="K32" t="s">
        <v>132</v>
      </c>
      <c r="S32" s="2"/>
      <c r="U32" t="e">
        <f>_xlfn.XLOOKUP(Table1[[#This Row],[Location Name]],'Risk Profiles'!$A$18:$A$37,'Risk Profiles'!$B$18:$B$37)</f>
        <v>#N/A</v>
      </c>
      <c r="V32" t="e">
        <f>_xlfn.XLOOKUP(Table1[[#This Row],[Location Name]],'Risk Profiles'!$A$18:$A$37,'Risk Profiles'!$C$18:$C$37)</f>
        <v>#N/A</v>
      </c>
      <c r="W32" t="e">
        <f>_xlfn.XLOOKUP(Table1[[#This Row],[Location Name]],'Risk Profiles'!$A$18:$A$37,'Risk Profiles'!$D$18:$D$37)</f>
        <v>#N/A</v>
      </c>
      <c r="X32" t="e">
        <f>_xlfn.XLOOKUP(Table1[[#This Row],[Location Name]],'Risk Profiles'!$A$18:$A$37,'Risk Profiles'!$E$18:$E$37)</f>
        <v>#N/A</v>
      </c>
      <c r="AA32" t="e">
        <f>_xlfn.XLOOKUP(A32,Table3[Location],Table3[Date Scheduled])</f>
        <v>#N/A</v>
      </c>
      <c r="AH32" s="65"/>
      <c r="AI32" s="65"/>
      <c r="AJ32" s="65"/>
      <c r="AK32" s="138" t="str">
        <f ca="1">IFERROR(INDEX('Scheduling Setup'!$L:$L,MATCH($A32,'Scheduling Setup'!$A:$A,0)),"")</f>
        <v/>
      </c>
      <c r="AL32" s="65"/>
      <c r="AM32" s="65"/>
      <c r="AN32" s="66"/>
      <c r="AO32" s="67"/>
      <c r="AP32" s="68"/>
      <c r="AQ32" s="46"/>
      <c r="AR32" s="61"/>
      <c r="AS32" s="57"/>
      <c r="AV32" s="57"/>
    </row>
    <row r="33" spans="1:48" ht="16" customHeight="1">
      <c r="S33" s="2"/>
      <c r="AH33" s="65"/>
      <c r="AI33" s="65"/>
      <c r="AJ33" s="65"/>
      <c r="AK33" s="65"/>
      <c r="AL33" s="65"/>
      <c r="AM33" s="65"/>
      <c r="AN33" s="66"/>
      <c r="AO33" s="67"/>
      <c r="AP33" s="68"/>
      <c r="AQ33" s="46"/>
      <c r="AR33" s="61"/>
      <c r="AS33" s="57"/>
      <c r="AV33" s="57"/>
    </row>
    <row r="34" spans="1:48" ht="16" customHeight="1">
      <c r="A34" t="str">
        <f>_xlfn.TEXTJOIN(",", TRUE, A3:A29)</f>
        <v>3708,5183,5985,6972,10422,10915,11657,13113,18213,20475,24471,29760,31357,32525,33109,33222,33704,34222,35064,43380,6178,6838,10034,35242,37566,38609,43701</v>
      </c>
      <c r="S34" s="2"/>
      <c r="AH34" s="65"/>
      <c r="AI34" s="65"/>
      <c r="AJ34" s="65"/>
      <c r="AK34" s="138" t="str">
        <f ca="1">IFERROR(INDEX('Scheduling Setup'!$L:$L,MATCH($A34,'Scheduling Setup'!$A:$A,0)),"")</f>
        <v/>
      </c>
      <c r="AL34" s="65"/>
      <c r="AM34" s="65"/>
      <c r="AN34" s="66"/>
      <c r="AO34" s="67"/>
      <c r="AP34" s="68"/>
      <c r="AQ34" s="46"/>
      <c r="AR34" s="61"/>
      <c r="AS34" s="57"/>
      <c r="AV34" s="57"/>
    </row>
    <row r="35" spans="1:48" ht="16" customHeight="1">
      <c r="C35" s="105" t="s">
        <v>282</v>
      </c>
      <c r="S35" s="2"/>
      <c r="AH35" s="65"/>
      <c r="AI35" s="65"/>
      <c r="AJ35" s="65"/>
      <c r="AK35" s="65"/>
      <c r="AL35" s="65"/>
      <c r="AM35" s="65"/>
      <c r="AN35" s="66"/>
      <c r="AO35" s="67"/>
      <c r="AP35" s="68"/>
      <c r="AQ35" s="46"/>
      <c r="AR35" s="61"/>
      <c r="AS35" s="57"/>
      <c r="AV35" s="57"/>
    </row>
    <row r="36" spans="1:48" ht="16" customHeight="1">
      <c r="F36" s="2"/>
      <c r="G36" s="2"/>
      <c r="H36" s="2"/>
      <c r="AH36" s="65"/>
      <c r="AI36" s="65"/>
      <c r="AJ36" s="65"/>
      <c r="AK36" s="65"/>
      <c r="AL36" s="65"/>
      <c r="AM36" s="65"/>
      <c r="AN36" s="66"/>
      <c r="AO36" s="67"/>
      <c r="AP36" s="68"/>
      <c r="AQ36" s="46"/>
      <c r="AR36" s="61"/>
      <c r="AS36" s="57"/>
      <c r="AV36" s="57"/>
    </row>
    <row r="37" spans="1:48" ht="16" customHeight="1">
      <c r="A37" s="144">
        <v>3.7085183598569701E+128</v>
      </c>
      <c r="F37" s="2"/>
      <c r="G37" s="2"/>
      <c r="H37" s="2"/>
      <c r="AH37" s="65"/>
      <c r="AI37" s="65"/>
      <c r="AJ37" s="65"/>
      <c r="AK37" s="65"/>
      <c r="AL37" s="65"/>
      <c r="AM37" s="65"/>
      <c r="AN37" s="66"/>
      <c r="AO37" s="67"/>
      <c r="AP37" s="68"/>
      <c r="AQ37" s="46"/>
      <c r="AR37" s="61"/>
      <c r="AS37" s="57"/>
      <c r="AV37" s="57"/>
    </row>
    <row r="38" spans="1:48" ht="16" customHeight="1">
      <c r="A38">
        <v>6178</v>
      </c>
      <c r="F38" s="2" t="s">
        <v>283</v>
      </c>
      <c r="G38" s="2"/>
      <c r="H38" t="s">
        <v>284</v>
      </c>
      <c r="I38" t="s">
        <v>285</v>
      </c>
      <c r="J38">
        <v>641</v>
      </c>
      <c r="L38" t="s">
        <v>286</v>
      </c>
      <c r="AH38" s="65"/>
      <c r="AI38" s="65"/>
      <c r="AJ38" s="65"/>
      <c r="AK38" s="138" t="str">
        <f ca="1">IFERROR(INDEX('Scheduling Setup'!$L:$L,MATCH($A38,'Scheduling Setup'!$A:$A,0)),"")</f>
        <v/>
      </c>
      <c r="AL38" s="65"/>
      <c r="AM38" s="65"/>
      <c r="AN38" s="66"/>
      <c r="AO38" s="67"/>
      <c r="AP38" s="68"/>
      <c r="AQ38" s="46"/>
      <c r="AR38" s="61"/>
      <c r="AS38" s="57"/>
      <c r="AV38" s="57"/>
    </row>
    <row r="39" spans="1:48" ht="16" customHeight="1">
      <c r="A39">
        <v>6178</v>
      </c>
      <c r="F39" s="2" t="s">
        <v>50</v>
      </c>
      <c r="G39" s="2"/>
      <c r="H39" t="s">
        <v>287</v>
      </c>
      <c r="I39" t="s">
        <v>285</v>
      </c>
      <c r="J39">
        <v>641</v>
      </c>
      <c r="L39" t="s">
        <v>286</v>
      </c>
      <c r="AH39" s="65"/>
      <c r="AI39" s="65"/>
      <c r="AJ39" s="65"/>
      <c r="AK39" s="138" t="str">
        <f ca="1">IFERROR(INDEX('Scheduling Setup'!$L:$L,MATCH($A39,'Scheduling Setup'!$A:$A,0)),"")</f>
        <v/>
      </c>
      <c r="AL39" s="65"/>
      <c r="AM39" s="65"/>
      <c r="AN39" s="66"/>
      <c r="AO39" s="67"/>
      <c r="AP39" s="68"/>
      <c r="AQ39" s="46"/>
      <c r="AR39" s="61"/>
      <c r="AS39" s="57"/>
      <c r="AV39" s="57"/>
    </row>
    <row r="40" spans="1:48" ht="16" customHeight="1">
      <c r="A40">
        <v>6178</v>
      </c>
      <c r="F40" s="2" t="s">
        <v>288</v>
      </c>
      <c r="G40" s="2"/>
      <c r="H40" t="s">
        <v>287</v>
      </c>
      <c r="I40" t="s">
        <v>285</v>
      </c>
      <c r="J40">
        <v>641</v>
      </c>
      <c r="L40" t="s">
        <v>286</v>
      </c>
      <c r="AH40" s="65"/>
      <c r="AI40" s="65"/>
      <c r="AJ40" s="65"/>
      <c r="AK40" s="138" t="str">
        <f ca="1">IFERROR(INDEX('Scheduling Setup'!$L:$L,MATCH($A40,'Scheduling Setup'!$A:$A,0)),"")</f>
        <v/>
      </c>
      <c r="AL40" s="65"/>
      <c r="AM40" s="65"/>
      <c r="AN40" s="66"/>
      <c r="AO40" s="67"/>
      <c r="AP40" s="68"/>
      <c r="AQ40" s="46"/>
      <c r="AR40" s="61"/>
      <c r="AS40" s="57"/>
      <c r="AV40" s="57"/>
    </row>
    <row r="41" spans="1:48" ht="16" customHeight="1">
      <c r="A41">
        <v>6838</v>
      </c>
      <c r="F41" s="2" t="s">
        <v>289</v>
      </c>
      <c r="G41" s="2"/>
      <c r="H41" t="s">
        <v>290</v>
      </c>
      <c r="I41" t="s">
        <v>285</v>
      </c>
      <c r="J41">
        <v>641</v>
      </c>
      <c r="L41" t="s">
        <v>286</v>
      </c>
      <c r="AH41" s="65"/>
      <c r="AI41" s="65"/>
      <c r="AJ41" s="65"/>
      <c r="AK41" s="138" t="str">
        <f ca="1">IFERROR(INDEX('Scheduling Setup'!$L:$L,MATCH($A41,'Scheduling Setup'!$A:$A,0)),"")</f>
        <v/>
      </c>
      <c r="AL41" s="65"/>
      <c r="AM41" s="65"/>
      <c r="AN41" s="66"/>
      <c r="AO41" s="67"/>
      <c r="AP41" s="68"/>
      <c r="AQ41" s="46"/>
      <c r="AR41" s="61"/>
      <c r="AS41" s="57"/>
      <c r="AV41" s="57"/>
    </row>
    <row r="42" spans="1:48" ht="16" customHeight="1">
      <c r="A42">
        <v>6838</v>
      </c>
      <c r="F42" s="2" t="s">
        <v>73</v>
      </c>
      <c r="G42" s="2"/>
      <c r="H42" t="s">
        <v>291</v>
      </c>
      <c r="I42" t="s">
        <v>285</v>
      </c>
      <c r="J42">
        <v>641</v>
      </c>
      <c r="L42" t="s">
        <v>286</v>
      </c>
      <c r="AH42" s="65"/>
      <c r="AI42" s="65"/>
      <c r="AJ42" s="65"/>
      <c r="AK42" s="138" t="str">
        <f ca="1">IFERROR(INDEX('Scheduling Setup'!$L:$L,MATCH($A42,'Scheduling Setup'!$A:$A,0)),"")</f>
        <v/>
      </c>
      <c r="AL42" s="65"/>
      <c r="AM42" s="65"/>
      <c r="AN42" s="66"/>
      <c r="AO42" s="67"/>
      <c r="AP42" s="68"/>
      <c r="AQ42" s="46"/>
      <c r="AR42" s="61"/>
    </row>
    <row r="43" spans="1:48" ht="16" customHeight="1">
      <c r="A43">
        <v>10034</v>
      </c>
      <c r="F43" t="s">
        <v>292</v>
      </c>
      <c r="H43" t="s">
        <v>293</v>
      </c>
      <c r="I43" t="s">
        <v>285</v>
      </c>
      <c r="J43">
        <v>641</v>
      </c>
      <c r="L43" t="s">
        <v>286</v>
      </c>
      <c r="AH43" s="65"/>
      <c r="AI43" s="65"/>
      <c r="AJ43" s="65"/>
      <c r="AK43" s="138" t="str">
        <f ca="1">IFERROR(INDEX('Scheduling Setup'!$L:$L,MATCH($A43,'Scheduling Setup'!$A:$A,0)),"")</f>
        <v/>
      </c>
      <c r="AL43" s="65"/>
      <c r="AM43" s="65"/>
      <c r="AN43" s="66"/>
      <c r="AO43" s="67"/>
      <c r="AP43" s="68"/>
      <c r="AQ43" s="46"/>
      <c r="AR43" s="61"/>
    </row>
    <row r="44" spans="1:48">
      <c r="A44">
        <v>35242</v>
      </c>
      <c r="F44" t="s">
        <v>294</v>
      </c>
      <c r="H44" t="s">
        <v>295</v>
      </c>
      <c r="I44" t="s">
        <v>285</v>
      </c>
      <c r="J44">
        <v>641</v>
      </c>
      <c r="L44" t="s">
        <v>286</v>
      </c>
      <c r="AK44" s="138" t="str">
        <f ca="1">IFERROR(INDEX('Scheduling Setup'!$L:$L,MATCH($A44,'Scheduling Setup'!$A:$A,0)),"")</f>
        <v/>
      </c>
    </row>
    <row r="45" spans="1:48">
      <c r="A45">
        <v>37566</v>
      </c>
      <c r="F45" t="s">
        <v>296</v>
      </c>
      <c r="H45" t="s">
        <v>297</v>
      </c>
      <c r="I45" t="s">
        <v>285</v>
      </c>
      <c r="J45">
        <v>641</v>
      </c>
      <c r="L45" t="s">
        <v>286</v>
      </c>
      <c r="AK45" s="138" t="str">
        <f ca="1">IFERROR(INDEX('Scheduling Setup'!$L:$L,MATCH($A45,'Scheduling Setup'!$A:$A,0)),"")</f>
        <v/>
      </c>
    </row>
    <row r="46" spans="1:48">
      <c r="A46">
        <v>38609</v>
      </c>
      <c r="F46" t="s">
        <v>298</v>
      </c>
      <c r="H46" t="s">
        <v>299</v>
      </c>
      <c r="I46" t="s">
        <v>285</v>
      </c>
      <c r="J46">
        <v>641</v>
      </c>
      <c r="L46" t="s">
        <v>286</v>
      </c>
      <c r="AK46" s="138" t="str">
        <f ca="1">IFERROR(INDEX('Scheduling Setup'!$L:$L,MATCH($A46,'Scheduling Setup'!$A:$A,0)),"")</f>
        <v/>
      </c>
    </row>
    <row r="47" spans="1:48">
      <c r="A47">
        <v>38609</v>
      </c>
      <c r="F47" t="s">
        <v>300</v>
      </c>
      <c r="H47" t="s">
        <v>299</v>
      </c>
      <c r="I47" t="s">
        <v>285</v>
      </c>
      <c r="J47">
        <v>641</v>
      </c>
      <c r="L47" t="s">
        <v>286</v>
      </c>
      <c r="AK47" s="138" t="str">
        <f ca="1">IFERROR(INDEX('Scheduling Setup'!$L:$L,MATCH($A47,'Scheduling Setup'!$A:$A,0)),"")</f>
        <v/>
      </c>
    </row>
    <row r="48" spans="1:48">
      <c r="A48">
        <v>43701</v>
      </c>
      <c r="F48" t="s">
        <v>301</v>
      </c>
      <c r="H48" t="s">
        <v>302</v>
      </c>
      <c r="I48" t="s">
        <v>285</v>
      </c>
      <c r="J48">
        <v>641</v>
      </c>
      <c r="L48" t="s">
        <v>286</v>
      </c>
      <c r="AK48" s="138" t="str">
        <f ca="1">IFERROR(INDEX('Scheduling Setup'!$L:$L,MATCH($A48,'Scheduling Setup'!$A:$A,0)),"")</f>
        <v/>
      </c>
    </row>
    <row r="49" spans="1:37">
      <c r="A49">
        <v>43701</v>
      </c>
      <c r="F49" t="s">
        <v>303</v>
      </c>
      <c r="H49" t="s">
        <v>304</v>
      </c>
      <c r="I49" t="s">
        <v>285</v>
      </c>
      <c r="J49">
        <v>641</v>
      </c>
      <c r="L49" t="s">
        <v>286</v>
      </c>
      <c r="AK49" s="138" t="str">
        <f ca="1">IFERROR(INDEX('Scheduling Setup'!$L:$L,MATCH($A49,'Scheduling Setup'!$A:$A,0)),"")</f>
        <v/>
      </c>
    </row>
  </sheetData>
  <mergeCells count="1">
    <mergeCell ref="BA1:BI1"/>
  </mergeCells>
  <conditionalFormatting sqref="Q3:S35 Z3:Z35">
    <cfRule type="containsText" dxfId="19" priority="20" operator="containsText" text="Yes">
      <formula>NOT(ISERROR(SEARCH("Yes",Q3)))</formula>
    </cfRule>
    <cfRule type="containsText" dxfId="18" priority="21" stopIfTrue="1" operator="containsText" text="No">
      <formula>NOT(ISERROR(SEARCH("No",Q3)))</formula>
    </cfRule>
  </conditionalFormatting>
  <conditionalFormatting sqref="U3:U35 W3:W35">
    <cfRule type="containsText" dxfId="17" priority="13" stopIfTrue="1" operator="containsText" text="Low">
      <formula>NOT(ISERROR(SEARCH("Low",U3)))</formula>
    </cfRule>
    <cfRule type="containsText" dxfId="16" priority="14" operator="containsText" text="High">
      <formula>NOT(ISERROR(SEARCH("High",U3)))</formula>
    </cfRule>
    <cfRule type="containsText" dxfId="15" priority="15" operator="containsText" text="Medium">
      <formula>NOT(ISERROR(SEARCH("Medium",U3)))</formula>
    </cfRule>
  </conditionalFormatting>
  <conditionalFormatting sqref="AG3:AG22">
    <cfRule type="cellIs" dxfId="14" priority="7" operator="lessThanOrEqual">
      <formula>$A$1</formula>
    </cfRule>
    <cfRule type="cellIs" dxfId="13" priority="8" operator="lessThanOrEqual">
      <formula>#REF!</formula>
    </cfRule>
  </conditionalFormatting>
  <conditionalFormatting sqref="AH3:AH22">
    <cfRule type="containsText" dxfId="12" priority="5" operator="containsText" text="Yes">
      <formula>NOT(ISERROR(SEARCH("Yes",AH3)))</formula>
    </cfRule>
    <cfRule type="containsText" dxfId="11" priority="6" stopIfTrue="1" operator="containsText" text="No">
      <formula>NOT(ISERROR(SEARCH("No",AH3)))</formula>
    </cfRule>
  </conditionalFormatting>
  <conditionalFormatting sqref="AI3:AI22">
    <cfRule type="containsText" dxfId="10" priority="3" operator="containsText" text="Yes">
      <formula>NOT(ISERROR(SEARCH("Yes",AI3)))</formula>
    </cfRule>
    <cfRule type="containsText" dxfId="9" priority="4" stopIfTrue="1" operator="containsText" text="No">
      <formula>NOT(ISERROR(SEARCH("No",AI3)))</formula>
    </cfRule>
  </conditionalFormatting>
  <conditionalFormatting sqref="AJ3:AJ22">
    <cfRule type="containsText" dxfId="8" priority="1" operator="containsText" text="Yes">
      <formula>NOT(ISERROR(SEARCH("Yes",AJ3)))</formula>
    </cfRule>
    <cfRule type="containsText" dxfId="7" priority="2" stopIfTrue="1" operator="containsText" text="No">
      <formula>NOT(ISERROR(SEARCH("No",AJ3)))</formula>
    </cfRule>
  </conditionalFormatting>
  <conditionalFormatting sqref="BF3:BF22">
    <cfRule type="cellIs" dxfId="6" priority="9" operator="lessThanOrEqual">
      <formula>$AZ$1</formula>
    </cfRule>
  </conditionalFormatting>
  <dataValidations count="3">
    <dataValidation type="list" allowBlank="1" showInputMessage="1" showErrorMessage="1" sqref="Q3:Q35 Z3:Z35 AH3:AJ22" xr:uid="{00000000-0002-0000-0000-000000000000}">
      <formula1>"Yes, No"</formula1>
    </dataValidation>
    <dataValidation type="list" allowBlank="1" showInputMessage="1" showErrorMessage="1" sqref="T3:T35 AB3:AD35 AE23:AE35 AF3:AF35" xr:uid="{00000000-0002-0000-0000-000001000000}">
      <formula1>"Monday, Tuesday, Wednesday, Thursday, Friday, Saturday, Sunday"</formula1>
    </dataValidation>
    <dataValidation type="list" allowBlank="1" showInputMessage="1" showErrorMessage="1" sqref="R3:R35" xr:uid="{00000000-0002-0000-0000-000002000000}">
      <formula1>"Yes, No, Partially"</formula1>
    </dataValidation>
  </dataValidations>
  <hyperlinks>
    <hyperlink ref="C5" r:id="rId1" xr:uid="{00000000-0004-0000-0000-000000000000}"/>
    <hyperlink ref="D5" r:id="rId2" xr:uid="{00000000-0004-0000-0000-000001000000}"/>
    <hyperlink ref="C7" r:id="rId3" xr:uid="{00000000-0004-0000-0000-000002000000}"/>
    <hyperlink ref="D7" r:id="rId4" xr:uid="{00000000-0004-0000-0000-000003000000}"/>
    <hyperlink ref="C10" r:id="rId5" xr:uid="{00000000-0004-0000-0000-000004000000}"/>
    <hyperlink ref="D10" r:id="rId6" xr:uid="{00000000-0004-0000-0000-000005000000}"/>
    <hyperlink ref="C17" r:id="rId7" xr:uid="{00000000-0004-0000-0000-000006000000}"/>
    <hyperlink ref="D17" r:id="rId8" xr:uid="{00000000-0004-0000-0000-000007000000}"/>
    <hyperlink ref="C21" r:id="rId9" xr:uid="{00000000-0004-0000-0000-000008000000}"/>
    <hyperlink ref="D21" r:id="rId10" xr:uid="{00000000-0004-0000-0000-000009000000}"/>
    <hyperlink ref="C22" r:id="rId11" xr:uid="{00000000-0004-0000-0000-00000A000000}"/>
    <hyperlink ref="D22" r:id="rId12" xr:uid="{00000000-0004-0000-0000-00000B000000}"/>
    <hyperlink ref="C35" r:id="rId13" xr:uid="{00000000-0004-0000-0000-00000C000000}"/>
  </hyperlinks>
  <pageMargins left="0.7" right="0.7" top="0.75" bottom="0.75" header="0.3" footer="0.3"/>
  <pageSetup orientation="portrait" horizontalDpi="0" verticalDpi="0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"/>
  <sheetViews>
    <sheetView zoomScale="120" zoomScaleNormal="120" workbookViewId="0">
      <selection activeCell="I17" sqref="I17"/>
    </sheetView>
  </sheetViews>
  <sheetFormatPr baseColWidth="10" defaultRowHeight="15"/>
  <cols>
    <col min="2" max="2" width="18.83203125" bestFit="1" customWidth="1"/>
    <col min="3" max="3" width="15.1640625" customWidth="1"/>
    <col min="4" max="4" width="15.5" customWidth="1"/>
    <col min="5" max="5" width="17.83203125" customWidth="1"/>
    <col min="6" max="6" width="10.83203125" customWidth="1"/>
    <col min="7" max="7" width="15.83203125" bestFit="1" customWidth="1"/>
    <col min="12" max="12" width="19.5" bestFit="1" customWidth="1"/>
    <col min="13" max="13" width="39.1640625" bestFit="1" customWidth="1"/>
  </cols>
  <sheetData>
    <row r="1" spans="1:13">
      <c r="A1" s="2">
        <f ca="1">TODAY()</f>
        <v>46266</v>
      </c>
      <c r="B1" s="2"/>
    </row>
    <row r="2" spans="1:13">
      <c r="A2" s="54" t="s">
        <v>1</v>
      </c>
      <c r="B2" s="54" t="s">
        <v>2</v>
      </c>
      <c r="C2" s="54" t="s">
        <v>3</v>
      </c>
      <c r="D2" s="54" t="s">
        <v>4</v>
      </c>
      <c r="E2" s="54" t="s">
        <v>124</v>
      </c>
      <c r="F2" s="54" t="s">
        <v>6</v>
      </c>
      <c r="G2" s="54" t="s">
        <v>7</v>
      </c>
      <c r="H2" s="54" t="s">
        <v>8</v>
      </c>
      <c r="I2" s="55" t="s">
        <v>9</v>
      </c>
      <c r="J2" s="54" t="s">
        <v>10</v>
      </c>
      <c r="K2" s="54" t="s">
        <v>125</v>
      </c>
      <c r="L2" s="62" t="s">
        <v>126</v>
      </c>
      <c r="M2" s="64" t="s">
        <v>127</v>
      </c>
    </row>
    <row r="3" spans="1:13" ht="16" customHeight="1">
      <c r="A3" s="120">
        <v>10422</v>
      </c>
      <c r="B3" s="19" t="s">
        <v>29</v>
      </c>
      <c r="C3" s="19" t="str">
        <f>_xlfn.XLOOKUP($A3,Table1[Location Name],Table1[Supervisor])</f>
        <v>Ashley Podroza</v>
      </c>
      <c r="D3" s="19" t="str">
        <f>_xlfn.XLOOKUP($A3,Table1[Location Name],Table1[GM])</f>
        <v>Ashleyh Hegwer</v>
      </c>
      <c r="E3" s="19" t="str">
        <f>IF(_xlfn.XLOOKUP($A3,Table1[Location Name],Table1[Primary Counting Manager])="","",_xlfn.XLOOKUP($A3,Table1[Location Name],Table1[Primary Counting Manager]))</f>
        <v>Ashley</v>
      </c>
      <c r="F3" s="10"/>
      <c r="G3" s="20">
        <v>46095</v>
      </c>
      <c r="H3" s="29"/>
      <c r="I3" s="49">
        <f>_xlfn.XLOOKUP(Table39[[#This Row],[Location]],Table4[STORE '#],Table4[DATE RGR])</f>
        <v>46051</v>
      </c>
      <c r="J3" s="50" t="str">
        <f>_xlfn.XLOOKUP(Table39[[#This Row],[Location]],Table1[Location Name],Table1[Weekly Inventory Count Day])</f>
        <v>Saturday</v>
      </c>
      <c r="K3" s="10" t="str">
        <f>_xlfn.XLOOKUP(Table39[[#This Row],[Location]],Table1[Location Name],Table1[FOB Risk Profile])</f>
        <v>High</v>
      </c>
      <c r="L3" s="59"/>
      <c r="M3" s="56" t="s">
        <v>305</v>
      </c>
    </row>
    <row r="4" spans="1:13" ht="16" customHeight="1">
      <c r="A4" s="120">
        <v>6972</v>
      </c>
      <c r="B4" s="19" t="s">
        <v>67</v>
      </c>
      <c r="C4" s="19" t="str">
        <f>_xlfn.XLOOKUP($A4,Table1[Location Name],Table1[Supervisor])</f>
        <v>Robert Spencer</v>
      </c>
      <c r="D4" s="19" t="str">
        <f>_xlfn.XLOOKUP($A4,Table1[Location Name],Table1[GM])</f>
        <v>Nick Rice</v>
      </c>
      <c r="E4" s="19" t="str">
        <f>IF(_xlfn.XLOOKUP($A4,Table1[Location Name],Table1[Primary Counting Manager])="","",_xlfn.XLOOKUP($A4,Table1[Location Name],Table1[Primary Counting Manager]))</f>
        <v>Beth</v>
      </c>
      <c r="F4" s="10"/>
      <c r="G4" s="20">
        <v>46065</v>
      </c>
      <c r="H4" s="29"/>
      <c r="I4" s="49">
        <f>_xlfn.XLOOKUP(Table39[[#This Row],[Location]],Table4[STORE '#],Table4[DATE RGR])</f>
        <v>46063</v>
      </c>
      <c r="J4" s="50" t="str">
        <f>_xlfn.XLOOKUP(Table39[[#This Row],[Location]],Table1[Location Name],Table1[Weekly Inventory Count Day])</f>
        <v>Thursday</v>
      </c>
      <c r="K4" s="10" t="str">
        <f>_xlfn.XLOOKUP(Table39[[#This Row],[Location]],Table1[Location Name],Table1[FOB Risk Profile])</f>
        <v>Medium</v>
      </c>
      <c r="L4" s="59"/>
      <c r="M4" s="56" t="s">
        <v>305</v>
      </c>
    </row>
    <row r="5" spans="1:13" ht="16" customHeight="1">
      <c r="A5" s="120">
        <v>10915</v>
      </c>
      <c r="B5" s="19" t="s">
        <v>57</v>
      </c>
      <c r="C5" s="19" t="str">
        <f>_xlfn.XLOOKUP($A5,Table1[Location Name],Table1[Supervisor])</f>
        <v>Steven Vaughn</v>
      </c>
      <c r="D5" s="19" t="str">
        <f>_xlfn.XLOOKUP($A5,Table1[Location Name],Table1[GM])</f>
        <v>Caleb Nunnelley</v>
      </c>
      <c r="E5" s="19" t="str">
        <f>IF(_xlfn.XLOOKUP($A5,Table1[Location Name],Table1[Primary Counting Manager])="","",_xlfn.XLOOKUP($A5,Table1[Location Name],Table1[Primary Counting Manager]))</f>
        <v>Caitlin</v>
      </c>
      <c r="F5" s="10" t="s">
        <v>181</v>
      </c>
      <c r="G5" s="20">
        <v>46148</v>
      </c>
      <c r="H5" s="29">
        <v>0.33333333333333331</v>
      </c>
      <c r="I5" s="49">
        <f>_xlfn.XLOOKUP(Table39[[#This Row],[Location]],Table4[STORE '#],Table4[DATE RGR])</f>
        <v>46071</v>
      </c>
      <c r="J5" s="50" t="str">
        <f>_xlfn.XLOOKUP(Table39[[#This Row],[Location]],Table1[Location Name],Table1[Weekly Inventory Count Day])</f>
        <v>Wednesday</v>
      </c>
      <c r="K5" s="10" t="str">
        <f>_xlfn.XLOOKUP(Table39[[#This Row],[Location]],Table1[Location Name],Table1[FOB Risk Profile])</f>
        <v>Medium</v>
      </c>
      <c r="L5" s="59" t="s">
        <v>182</v>
      </c>
      <c r="M5" t="s">
        <v>183</v>
      </c>
    </row>
    <row r="6" spans="1:13" ht="16" customHeight="1">
      <c r="A6" s="120">
        <v>5985</v>
      </c>
      <c r="B6" s="19" t="s">
        <v>52</v>
      </c>
      <c r="C6" s="19" t="str">
        <f>_xlfn.XLOOKUP($A6,Table1[Location Name],Table1[Supervisor])</f>
        <v>Ashley Podroza</v>
      </c>
      <c r="D6" s="19" t="str">
        <f>_xlfn.XLOOKUP($A6,Table1[Location Name],Table1[GM])</f>
        <v>Stacey Hyatt</v>
      </c>
      <c r="E6" s="19" t="str">
        <f>IF(_xlfn.XLOOKUP($A6,Table1[Location Name],Table1[Primary Counting Manager])="","",_xlfn.XLOOKUP($A6,Table1[Location Name],Table1[Primary Counting Manager]))</f>
        <v>Scauti/Chas</v>
      </c>
      <c r="F6" s="10" t="s">
        <v>181</v>
      </c>
      <c r="G6" s="20">
        <v>46119</v>
      </c>
      <c r="H6" s="29">
        <v>0.33333333333333331</v>
      </c>
      <c r="I6" s="49">
        <f>_xlfn.XLOOKUP(Table39[[#This Row],[Location]],Table4[STORE '#],Table4[DATE RGR])</f>
        <v>46092</v>
      </c>
      <c r="J6" s="50" t="str">
        <f>_xlfn.XLOOKUP(Table39[[#This Row],[Location]],Table1[Location Name],Table1[Weekly Inventory Count Day])</f>
        <v>Tuesday</v>
      </c>
      <c r="K6" s="10" t="str">
        <f>_xlfn.XLOOKUP(Table39[[#This Row],[Location]],Table1[Location Name],Table1[FOB Risk Profile])</f>
        <v>Low</v>
      </c>
      <c r="L6" s="59" t="s">
        <v>182</v>
      </c>
      <c r="M6" t="s">
        <v>183</v>
      </c>
    </row>
    <row r="7" spans="1:13" ht="16" customHeight="1">
      <c r="A7" s="120">
        <v>20475</v>
      </c>
      <c r="B7" s="19" t="s">
        <v>18</v>
      </c>
      <c r="C7" s="19" t="str">
        <f>_xlfn.XLOOKUP($A7,Table1[Location Name],Table1[Supervisor])</f>
        <v>Amanda Estrada</v>
      </c>
      <c r="D7" s="19" t="str">
        <f>_xlfn.XLOOKUP($A7,Table1[Location Name],Table1[GM])</f>
        <v>Derek McGirt</v>
      </c>
      <c r="E7" s="19" t="s">
        <v>198</v>
      </c>
      <c r="F7" s="10" t="s">
        <v>181</v>
      </c>
      <c r="G7" s="20">
        <v>46121</v>
      </c>
      <c r="H7" s="29">
        <v>0.33333333333333331</v>
      </c>
      <c r="I7" s="49">
        <f>_xlfn.XLOOKUP(Table39[[#This Row],[Location]],Table4[STORE '#],Table4[DATE RGR])</f>
        <v>46107</v>
      </c>
      <c r="J7" s="50" t="str">
        <f>_xlfn.XLOOKUP(Table39[[#This Row],[Location]],Table1[Location Name],Table1[Weekly Inventory Count Day])</f>
        <v>Thursday</v>
      </c>
      <c r="K7" s="10" t="str">
        <f>_xlfn.XLOOKUP(Table39[[#This Row],[Location]],Table1[Location Name],Table1[FOB Risk Profile])</f>
        <v>Low</v>
      </c>
      <c r="L7" s="59" t="s">
        <v>182</v>
      </c>
      <c r="M7" t="s">
        <v>183</v>
      </c>
    </row>
    <row r="8" spans="1:13" ht="16" customHeight="1">
      <c r="A8" s="120">
        <v>33704</v>
      </c>
      <c r="B8" s="19" t="s">
        <v>38</v>
      </c>
      <c r="C8" s="19" t="str">
        <f>_xlfn.XLOOKUP($A8,Table1[Location Name],Table1[Supervisor])</f>
        <v>Steven Vaughn</v>
      </c>
      <c r="D8" s="19" t="str">
        <f>_xlfn.XLOOKUP($A8,Table1[Location Name],Table1[GM])</f>
        <v>Candy Barksdale</v>
      </c>
      <c r="E8" s="19" t="str">
        <f>IF(_xlfn.XLOOKUP($A8,Table1[Location Name],Table1[Primary Counting Manager])="","",_xlfn.XLOOKUP($A8,Table1[Location Name],Table1[Primary Counting Manager]))</f>
        <v>Marlena</v>
      </c>
      <c r="F8" s="10" t="s">
        <v>181</v>
      </c>
      <c r="G8" s="20">
        <v>46157</v>
      </c>
      <c r="H8" s="29">
        <v>0.33333333333333331</v>
      </c>
      <c r="I8" s="49">
        <f>_xlfn.XLOOKUP(Table39[[#This Row],[Location]],Table4[STORE '#],Table4[DATE RGR])</f>
        <v>46127</v>
      </c>
      <c r="J8" s="50" t="str">
        <f>_xlfn.XLOOKUP(Table39[[#This Row],[Location]],Table1[Location Name],Table1[Weekly Inventory Count Day])</f>
        <v>Friday</v>
      </c>
      <c r="K8" s="10" t="str">
        <f>_xlfn.XLOOKUP(Table39[[#This Row],[Location]],Table1[Location Name],Table1[FOB Risk Profile])</f>
        <v>Medium</v>
      </c>
      <c r="L8" s="59" t="s">
        <v>182</v>
      </c>
      <c r="M8" t="s">
        <v>183</v>
      </c>
    </row>
    <row r="9" spans="1:13" ht="16" customHeight="1">
      <c r="A9" s="120">
        <v>11657</v>
      </c>
      <c r="B9" s="19" t="s">
        <v>65</v>
      </c>
      <c r="C9" s="19" t="str">
        <f>_xlfn.XLOOKUP($A9,Table1[Location Name],Table1[Supervisor])</f>
        <v>Amanda Estrada</v>
      </c>
      <c r="D9" s="19" t="str">
        <f>_xlfn.XLOOKUP($A9,Table1[Location Name],Table1[GM])</f>
        <v>Jessie Hiatt</v>
      </c>
      <c r="E9" s="19" t="str">
        <f>IF(_xlfn.XLOOKUP($A9,Table1[Location Name],Table1[Primary Counting Manager])="","",_xlfn.XLOOKUP($A9,Table1[Location Name],Table1[Primary Counting Manager]))</f>
        <v>Norma</v>
      </c>
      <c r="F9" s="10" t="s">
        <v>181</v>
      </c>
      <c r="G9" s="20">
        <v>46149</v>
      </c>
      <c r="H9" s="29">
        <v>0.33333333333333331</v>
      </c>
      <c r="I9" s="49">
        <f>_xlfn.XLOOKUP(Table39[[#This Row],[Location]],Table4[STORE '#],Table4[DATE RGR])</f>
        <v>46134</v>
      </c>
      <c r="J9" s="50" t="str">
        <f>_xlfn.XLOOKUP(Table39[[#This Row],[Location]],Table1[Location Name],Table1[Weekly Inventory Count Day])</f>
        <v>Thursday</v>
      </c>
      <c r="K9" s="10" t="str">
        <f>_xlfn.XLOOKUP(Table39[[#This Row],[Location]],Table1[Location Name],Table1[FOB Risk Profile])</f>
        <v>Medium</v>
      </c>
      <c r="L9" s="59" t="s">
        <v>182</v>
      </c>
      <c r="M9" t="s">
        <v>219</v>
      </c>
    </row>
    <row r="10" spans="1:13" ht="16" customHeight="1">
      <c r="A10" s="120">
        <v>34222</v>
      </c>
      <c r="B10" s="19" t="s">
        <v>25</v>
      </c>
      <c r="C10" s="19" t="str">
        <f>_xlfn.XLOOKUP($A10,Table1[Location Name],Table1[Supervisor])</f>
        <v>Steven Vaughn</v>
      </c>
      <c r="D10" s="19" t="str">
        <f>_xlfn.XLOOKUP($A10,Table1[Location Name],Table1[GM])</f>
        <v>Hunter McKee</v>
      </c>
      <c r="E10" s="19" t="str">
        <f>IF(_xlfn.XLOOKUP($A10,Table1[Location Name],Table1[Primary Counting Manager])="","",_xlfn.XLOOKUP($A10,Table1[Location Name],Table1[Primary Counting Manager]))</f>
        <v>Kaylee</v>
      </c>
      <c r="F10" s="10" t="s">
        <v>181</v>
      </c>
      <c r="G10" s="20">
        <v>46160</v>
      </c>
      <c r="H10" s="29">
        <v>0.375</v>
      </c>
      <c r="I10" s="49">
        <f>_xlfn.XLOOKUP(Table39[[#This Row],[Location]],Table4[STORE '#],Table4[DATE RGR])</f>
        <v>46155</v>
      </c>
      <c r="J10" s="50" t="str">
        <f>_xlfn.XLOOKUP(Table39[[#This Row],[Location]],Table1[Location Name],Table1[Weekly Inventory Count Day])</f>
        <v>Monday</v>
      </c>
      <c r="K10" s="10" t="str">
        <f>_xlfn.XLOOKUP(Table39[[#This Row],[Location]],Table1[Location Name],Table1[FOB Risk Profile])</f>
        <v>Low</v>
      </c>
      <c r="L10" s="59" t="s">
        <v>182</v>
      </c>
      <c r="M10" t="s">
        <v>306</v>
      </c>
    </row>
    <row r="11" spans="1:13" ht="16" customHeight="1">
      <c r="A11" s="120">
        <v>33222</v>
      </c>
      <c r="B11" s="19" t="s">
        <v>76</v>
      </c>
      <c r="C11" s="19" t="str">
        <f>_xlfn.XLOOKUP($A11,Table1[Location Name],Table1[Supervisor])</f>
        <v>Krystiana Langford</v>
      </c>
      <c r="D11" s="19" t="str">
        <f>_xlfn.XLOOKUP($A11,Table1[Location Name],Table1[GM])</f>
        <v>Carol Escusa</v>
      </c>
      <c r="E11" s="19" t="str">
        <f>IF(_xlfn.XLOOKUP($A11,Table1[Location Name],Table1[Primary Counting Manager])="","",_xlfn.XLOOKUP($A11,Table1[Location Name],Table1[Primary Counting Manager]))</f>
        <v>Darryl</v>
      </c>
      <c r="F11" s="10" t="s">
        <v>181</v>
      </c>
      <c r="G11" s="20">
        <v>46135</v>
      </c>
      <c r="H11" s="29">
        <v>0.33333333333333331</v>
      </c>
      <c r="I11" s="49">
        <f>_xlfn.XLOOKUP(Table39[[#This Row],[Location]],Table4[STORE '#],Table4[DATE RGR])</f>
        <v>46169</v>
      </c>
      <c r="J11" s="50" t="str">
        <f>_xlfn.XLOOKUP(Table39[[#This Row],[Location]],Table1[Location Name],Table1[Weekly Inventory Count Day])</f>
        <v>Thursday</v>
      </c>
      <c r="K11" s="10" t="str">
        <f>_xlfn.XLOOKUP(Table39[[#This Row],[Location]],Table1[Location Name],Table1[FOB Risk Profile])</f>
        <v>High</v>
      </c>
      <c r="L11" s="59" t="s">
        <v>182</v>
      </c>
      <c r="M11" t="s">
        <v>209</v>
      </c>
    </row>
    <row r="12" spans="1:13" ht="16" customHeight="1">
      <c r="A12" s="120">
        <v>13113</v>
      </c>
      <c r="B12" s="19" t="s">
        <v>79</v>
      </c>
      <c r="C12" s="19" t="str">
        <f>_xlfn.XLOOKUP($A12,Table1[Location Name],Table1[Supervisor])</f>
        <v>Ashley Podroza</v>
      </c>
      <c r="D12" s="19" t="str">
        <f>_xlfn.XLOOKUP($A12,Table1[Location Name],Table1[GM])</f>
        <v>Chris Abbey</v>
      </c>
      <c r="E12" s="19" t="str">
        <f>IF(_xlfn.XLOOKUP($A12,Table1[Location Name],Table1[Primary Counting Manager])="","",_xlfn.XLOOKUP($A12,Table1[Location Name],Table1[Primary Counting Manager]))</f>
        <v>Josh</v>
      </c>
      <c r="F12" s="10" t="s">
        <v>181</v>
      </c>
      <c r="G12" s="20">
        <v>46126</v>
      </c>
      <c r="H12" s="29">
        <v>0.33333333333333331</v>
      </c>
      <c r="I12" s="49">
        <f>_xlfn.XLOOKUP(Table39[[#This Row],[Location]],Table4[STORE '#],Table4[DATE RGR])</f>
        <v>46183</v>
      </c>
      <c r="J12" s="50" t="str">
        <f>_xlfn.XLOOKUP(Table39[[#This Row],[Location]],Table1[Location Name],Table1[Weekly Inventory Count Day])</f>
        <v>Tuesday</v>
      </c>
      <c r="K12" s="10" t="str">
        <f>_xlfn.XLOOKUP(Table39[[#This Row],[Location]],Table1[Location Name],Table1[FOB Risk Profile])</f>
        <v>High</v>
      </c>
      <c r="L12" s="59" t="s">
        <v>182</v>
      </c>
      <c r="M12" t="s">
        <v>183</v>
      </c>
    </row>
    <row r="13" spans="1:13" ht="16" customHeight="1">
      <c r="A13" s="120">
        <v>31357</v>
      </c>
      <c r="B13" s="19" t="s">
        <v>69</v>
      </c>
      <c r="C13" s="19" t="str">
        <f>_xlfn.XLOOKUP($A13,Table1[Location Name],Table1[Supervisor])</f>
        <v>Amanda Estrada</v>
      </c>
      <c r="D13" s="19" t="str">
        <f>_xlfn.XLOOKUP($A13,Table1[Location Name],Table1[GM])</f>
        <v>Brady Giambaresi</v>
      </c>
      <c r="E13" s="19" t="str">
        <f>IF(_xlfn.XLOOKUP($A13,Table1[Location Name],Table1[Primary Counting Manager])="","",_xlfn.XLOOKUP($A13,Table1[Location Name],Table1[Primary Counting Manager]))</f>
        <v>Angelo</v>
      </c>
      <c r="F13" s="10" t="s">
        <v>181</v>
      </c>
      <c r="G13" s="20">
        <v>46156</v>
      </c>
      <c r="H13" s="29">
        <v>0.33333333333333331</v>
      </c>
      <c r="I13" s="49">
        <v>46198</v>
      </c>
      <c r="J13" s="50" t="str">
        <f>_xlfn.XLOOKUP(Table39[[#This Row],[Location]],Table1[Location Name],Table1[Weekly Inventory Count Day])</f>
        <v>Thursday</v>
      </c>
      <c r="K13" s="10" t="str">
        <f>_xlfn.XLOOKUP(Table39[[#This Row],[Location]],Table1[Location Name],Table1[FOB Risk Profile])</f>
        <v>Medium</v>
      </c>
      <c r="L13" s="59" t="s">
        <v>182</v>
      </c>
      <c r="M13" t="s">
        <v>183</v>
      </c>
    </row>
    <row r="14" spans="1:13" ht="16" customHeight="1">
      <c r="A14" s="120">
        <v>35064</v>
      </c>
      <c r="B14" s="19" t="s">
        <v>43</v>
      </c>
      <c r="C14" s="19" t="str">
        <f>_xlfn.XLOOKUP($A14,Table1[Location Name],Table1[Supervisor])</f>
        <v>Steven Vaughn</v>
      </c>
      <c r="D14" s="19" t="str">
        <f>_xlfn.XLOOKUP($A14,Table1[Location Name],Table1[GM])</f>
        <v>Lynsey Yahola</v>
      </c>
      <c r="E14" s="19" t="str">
        <f>IF(_xlfn.XLOOKUP($A14,Table1[Location Name],Table1[Primary Counting Manager])="","",_xlfn.XLOOKUP($A14,Table1[Location Name],Table1[Primary Counting Manager]))</f>
        <v>Lynsey</v>
      </c>
      <c r="F14" s="10"/>
      <c r="G14" s="20">
        <v>46092</v>
      </c>
      <c r="H14" s="29"/>
      <c r="I14" s="49">
        <f>_xlfn.XLOOKUP(Table39[[#This Row],[Location]],Table4[STORE '#],Table4[DATE RGR])</f>
        <v>46211</v>
      </c>
      <c r="J14" s="50" t="str">
        <f>_xlfn.XLOOKUP(Table39[[#This Row],[Location]],Table1[Location Name],Table1[Weekly Inventory Count Day])</f>
        <v>Wednesday</v>
      </c>
      <c r="K14" s="10" t="str">
        <f>_xlfn.XLOOKUP(Table39[[#This Row],[Location]],Table1[Location Name],Table1[FOB Risk Profile])</f>
        <v>High</v>
      </c>
      <c r="L14" s="59"/>
      <c r="M14" s="56" t="s">
        <v>305</v>
      </c>
    </row>
    <row r="15" spans="1:13" ht="16" customHeight="1">
      <c r="A15" s="120">
        <v>43380</v>
      </c>
      <c r="B15" s="19" t="s">
        <v>33</v>
      </c>
      <c r="C15" s="19" t="str">
        <f>_xlfn.XLOOKUP($A15,Table1[Location Name],Table1[Supervisor])</f>
        <v>Ashley Podroza</v>
      </c>
      <c r="D15" s="19" t="str">
        <f>_xlfn.XLOOKUP($A15,Table1[Location Name],Table1[GM])</f>
        <v>Zukarr Eaves</v>
      </c>
      <c r="E15" s="19" t="str">
        <f>IF(_xlfn.XLOOKUP($A15,Table1[Location Name],Table1[Primary Counting Manager])="","",_xlfn.XLOOKUP($A15,Table1[Location Name],Table1[Primary Counting Manager]))</f>
        <v>Zukaar</v>
      </c>
      <c r="F15" s="10"/>
      <c r="G15" s="20">
        <v>46088</v>
      </c>
      <c r="H15" s="29"/>
      <c r="I15" s="49">
        <f>_xlfn.XLOOKUP(Table39[[#This Row],[Location]],Table4[STORE '#],Table4[DATE RGR])</f>
        <v>46225</v>
      </c>
      <c r="J15" s="50" t="str">
        <f>_xlfn.XLOOKUP(Table39[[#This Row],[Location]],Table1[Location Name],Table1[Weekly Inventory Count Day])</f>
        <v>Saturday</v>
      </c>
      <c r="K15" s="10" t="str">
        <f>_xlfn.XLOOKUP(Table39[[#This Row],[Location]],Table1[Location Name],Table1[FOB Risk Profile])</f>
        <v>Medium</v>
      </c>
      <c r="L15" s="60"/>
      <c r="M15" s="56" t="s">
        <v>305</v>
      </c>
    </row>
    <row r="16" spans="1:13" ht="16" customHeight="1">
      <c r="A16" s="120">
        <v>3708</v>
      </c>
      <c r="B16" s="19" t="s">
        <v>81</v>
      </c>
      <c r="C16" s="19" t="str">
        <f>_xlfn.XLOOKUP($A16,Table1[Location Name],Table1[Supervisor])</f>
        <v>Robert Spencer</v>
      </c>
      <c r="D16" s="19" t="str">
        <f>_xlfn.XLOOKUP($A16,Table1[Location Name],Table1[GM])</f>
        <v>Cinthya Armedariz</v>
      </c>
      <c r="E16" s="19" t="str">
        <f>IF(_xlfn.XLOOKUP($A16,Table1[Location Name],Table1[Primary Counting Manager])="","",_xlfn.XLOOKUP($A16,Table1[Location Name],Table1[Primary Counting Manager]))</f>
        <v>Cinthya</v>
      </c>
      <c r="F16" s="10" t="s">
        <v>181</v>
      </c>
      <c r="G16" s="20">
        <v>46133</v>
      </c>
      <c r="H16" s="29">
        <v>0.33333333333333331</v>
      </c>
      <c r="I16" s="49">
        <f>_xlfn.XLOOKUP(Table39[[#This Row],[Location]],Table4[STORE '#],Table4[DATE RGR])</f>
        <v>46260</v>
      </c>
      <c r="J16" s="50" t="str">
        <f>_xlfn.XLOOKUP(Table39[[#This Row],[Location]],Table1[Location Name],Table1[Weekly Inventory Count Day])</f>
        <v>Tuesday</v>
      </c>
      <c r="K16" s="10" t="str">
        <f>_xlfn.XLOOKUP(Table39[[#This Row],[Location]],Table1[Location Name],Table1[FOB Risk Profile])</f>
        <v>Medium</v>
      </c>
      <c r="L16" s="59" t="s">
        <v>182</v>
      </c>
      <c r="M16" t="s">
        <v>183</v>
      </c>
    </row>
    <row r="17" spans="1:16" ht="16" customHeight="1">
      <c r="A17" s="121">
        <v>5183</v>
      </c>
      <c r="B17" s="30" t="s">
        <v>46</v>
      </c>
      <c r="C17" s="30" t="str">
        <f>_xlfn.XLOOKUP($A17,Table1[Location Name],Table1[Supervisor])</f>
        <v>Krystiana Langford</v>
      </c>
      <c r="D17" s="30" t="str">
        <f>_xlfn.XLOOKUP($A17,Table1[Location Name],Table1[GM])</f>
        <v>Mukarram Norman</v>
      </c>
      <c r="E17" s="30" t="str">
        <f>IF(_xlfn.XLOOKUP($A17,Table1[Location Name],Table1[Primary Counting Manager])="","",_xlfn.XLOOKUP($A17,Table1[Location Name],Table1[Primary Counting Manager]))</f>
        <v>Mukarram</v>
      </c>
      <c r="F17" s="11" t="s">
        <v>181</v>
      </c>
      <c r="G17" s="31">
        <v>46163</v>
      </c>
      <c r="H17" s="32">
        <v>0.33333333333333331</v>
      </c>
      <c r="I17" s="51">
        <f>_xlfn.XLOOKUP(Table39[[#This Row],[Location]],Table4[STORE '#],Table4[DATE RGR])</f>
        <v>46281</v>
      </c>
      <c r="J17" s="52" t="str">
        <f>_xlfn.XLOOKUP(Table39[[#This Row],[Location]],Table1[Location Name],Table1[Weekly Inventory Count Day])</f>
        <v>Thursday</v>
      </c>
      <c r="K17" s="11" t="str">
        <f>_xlfn.XLOOKUP(Table39[[#This Row],[Location]],Table1[Location Name],Table1[FOB Risk Profile])</f>
        <v>Medium</v>
      </c>
      <c r="L17" s="69" t="s">
        <v>182</v>
      </c>
      <c r="M17" t="s">
        <v>239</v>
      </c>
    </row>
    <row r="18" spans="1:16" ht="16" customHeight="1">
      <c r="A18" s="121">
        <v>33109</v>
      </c>
      <c r="B18" s="30" t="s">
        <v>61</v>
      </c>
      <c r="C18" s="30" t="str">
        <f>_xlfn.XLOOKUP($A18,Table1[Location Name],Table1[Supervisor])</f>
        <v>Ashley Podroza</v>
      </c>
      <c r="D18" s="30" t="str">
        <f>_xlfn.XLOOKUP($A18,Table1[Location Name],Table1[GM])</f>
        <v>Rey Araiz</v>
      </c>
      <c r="E18" s="30" t="str">
        <f>IF(_xlfn.XLOOKUP($A18,Table1[Location Name],Table1[Primary Counting Manager])="","",_xlfn.XLOOKUP($A18,Table1[Location Name],Table1[Primary Counting Manager]))</f>
        <v>Gisselle</v>
      </c>
      <c r="F18" s="11" t="s">
        <v>181</v>
      </c>
      <c r="G18" s="31">
        <v>46170</v>
      </c>
      <c r="H18" s="32">
        <v>0.33333333333333331</v>
      </c>
      <c r="I18" s="51">
        <f>_xlfn.XLOOKUP(Table39[[#This Row],[Location]],Table4[STORE '#],Table4[DATE RGR])</f>
        <v>46295</v>
      </c>
      <c r="J18" s="52" t="str">
        <f>_xlfn.XLOOKUP(Table39[[#This Row],[Location]],Table1[Location Name],Table1[Weekly Inventory Count Day])</f>
        <v>Tuesday</v>
      </c>
      <c r="K18" s="11" t="str">
        <f>_xlfn.XLOOKUP(Table39[[#This Row],[Location]],Table1[Location Name],Table1[FOB Risk Profile])</f>
        <v>Low</v>
      </c>
      <c r="L18" s="69" t="s">
        <v>182</v>
      </c>
      <c r="M18" t="s">
        <v>245</v>
      </c>
    </row>
    <row r="19" spans="1:16" ht="16" customHeight="1">
      <c r="A19" s="121">
        <v>24471</v>
      </c>
      <c r="B19" s="30" t="s">
        <v>83</v>
      </c>
      <c r="C19" s="30" t="str">
        <f>_xlfn.XLOOKUP($A19,Table1[Location Name],Table1[Supervisor])</f>
        <v>Robert Spencer</v>
      </c>
      <c r="D19" s="30" t="str">
        <f>_xlfn.XLOOKUP($A19,Table1[Location Name],Table1[GM])</f>
        <v>Mystykal Abbey</v>
      </c>
      <c r="E19" s="30" t="str">
        <f>IF(_xlfn.XLOOKUP($A19,Table1[Location Name],Table1[Primary Counting Manager])="","",_xlfn.XLOOKUP($A19,Table1[Location Name],Table1[Primary Counting Manager]))</f>
        <v>Mystikal</v>
      </c>
      <c r="F19" s="11"/>
      <c r="G19" s="31">
        <v>46086</v>
      </c>
      <c r="H19" s="32"/>
      <c r="I19" s="51">
        <f>_xlfn.XLOOKUP(Table39[[#This Row],[Location]],Table4[STORE '#],Table4[DATE RGR])</f>
        <v>46309</v>
      </c>
      <c r="J19" s="52" t="str">
        <f>_xlfn.XLOOKUP(Table39[[#This Row],[Location]],Table1[Location Name],Table1[Weekly Inventory Count Day])</f>
        <v>Thursday</v>
      </c>
      <c r="K19" s="11" t="str">
        <f>_xlfn.XLOOKUP(Table39[[#This Row],[Location]],Table1[Location Name],Table1[FOB Risk Profile])</f>
        <v>High</v>
      </c>
      <c r="L19" s="69"/>
      <c r="M19" s="56" t="s">
        <v>305</v>
      </c>
      <c r="O19" s="101"/>
      <c r="P19" s="101"/>
    </row>
    <row r="20" spans="1:16" ht="16" customHeight="1">
      <c r="A20" s="121">
        <v>29760</v>
      </c>
      <c r="B20" s="30" t="s">
        <v>72</v>
      </c>
      <c r="C20" s="30" t="str">
        <f>_xlfn.XLOOKUP($A20,Table1[Location Name],Table1[Supervisor])</f>
        <v>Krystiana Langford</v>
      </c>
      <c r="D20" s="30" t="str">
        <f>_xlfn.XLOOKUP($A20,Table1[Location Name],Table1[GM])</f>
        <v>Heather Danforth</v>
      </c>
      <c r="E20" s="30" t="str">
        <f>IF(_xlfn.XLOOKUP($A20,Table1[Location Name],Table1[Primary Counting Manager])="","",_xlfn.XLOOKUP($A20,Table1[Location Name],Table1[Primary Counting Manager]))</f>
        <v>Magi</v>
      </c>
      <c r="F20" s="11"/>
      <c r="G20" s="31">
        <v>46100</v>
      </c>
      <c r="H20" s="32"/>
      <c r="I20" s="51">
        <f>_xlfn.XLOOKUP(Table39[[#This Row],[Location]],Table4[STORE '#],Table4[DATE RGR])</f>
        <v>46323</v>
      </c>
      <c r="J20" s="52" t="str">
        <f>_xlfn.XLOOKUP(Table39[[#This Row],[Location]],Table1[Location Name],Table1[Weekly Inventory Count Day])</f>
        <v>Thursday</v>
      </c>
      <c r="K20" s="11" t="str">
        <f>_xlfn.XLOOKUP(Table39[[#This Row],[Location]],Table1[Location Name],Table1[FOB Risk Profile])</f>
        <v>Low</v>
      </c>
      <c r="L20" s="69"/>
      <c r="M20" s="56" t="s">
        <v>305</v>
      </c>
    </row>
    <row r="21" spans="1:16" ht="16" customHeight="1">
      <c r="A21" s="121">
        <v>32525</v>
      </c>
      <c r="B21" s="30" t="s">
        <v>54</v>
      </c>
      <c r="C21" s="30" t="str">
        <f>_xlfn.XLOOKUP($A21,Table1[Location Name],Table1[Supervisor])</f>
        <v>Robert Spencer</v>
      </c>
      <c r="D21" s="30" t="str">
        <f>_xlfn.XLOOKUP($A21,Table1[Location Name],Table1[GM])</f>
        <v>Aliyah Richardson</v>
      </c>
      <c r="E21" s="30" t="str">
        <f>IF(_xlfn.XLOOKUP($A21,Table1[Location Name],Table1[Primary Counting Manager])="","",_xlfn.XLOOKUP($A21,Table1[Location Name],Table1[Primary Counting Manager]))</f>
        <v>Priscilla</v>
      </c>
      <c r="F21" s="11" t="s">
        <v>181</v>
      </c>
      <c r="G21" s="31">
        <v>46121</v>
      </c>
      <c r="H21" s="32">
        <v>0.54166666666666663</v>
      </c>
      <c r="I21" s="51">
        <f>_xlfn.XLOOKUP(Table39[[#This Row],[Location]],Table4[STORE '#],Table4[DATE RGR])</f>
        <v>46337</v>
      </c>
      <c r="J21" s="52" t="str">
        <f>_xlfn.XLOOKUP(Table39[[#This Row],[Location]],Table1[Location Name],Table1[Weekly Inventory Count Day])</f>
        <v>Thursday</v>
      </c>
      <c r="K21" s="11" t="str">
        <f>_xlfn.XLOOKUP(Table39[[#This Row],[Location]],Table1[Location Name],Table1[FOB Risk Profile])</f>
        <v>High</v>
      </c>
      <c r="L21" s="69" t="s">
        <v>182</v>
      </c>
      <c r="M21" t="s">
        <v>183</v>
      </c>
      <c r="O21" s="101"/>
      <c r="P21" s="101"/>
    </row>
    <row r="22" spans="1:16" ht="16" customHeight="1">
      <c r="A22" s="121">
        <v>18213</v>
      </c>
      <c r="B22" s="30" t="s">
        <v>49</v>
      </c>
      <c r="C22" s="30" t="str">
        <f>_xlfn.XLOOKUP($A22,Table1[Location Name],Table1[Supervisor])</f>
        <v>Krystiana Langford</v>
      </c>
      <c r="D22" s="30" t="str">
        <f>_xlfn.XLOOKUP($A22,Table1[Location Name],Table1[GM])</f>
        <v>Cora Bahling</v>
      </c>
      <c r="E22" s="30" t="str">
        <f>IF(_xlfn.XLOOKUP($A22,Table1[Location Name],Table1[Primary Counting Manager])="","",_xlfn.XLOOKUP($A22,Table1[Location Name],Table1[Primary Counting Manager]))</f>
        <v>Crystal</v>
      </c>
      <c r="F22" s="11" t="s">
        <v>181</v>
      </c>
      <c r="G22" s="106">
        <v>46191</v>
      </c>
      <c r="H22" s="32">
        <v>0.33333333333333331</v>
      </c>
      <c r="I22" s="51">
        <f>_xlfn.XLOOKUP(Table39[[#This Row],[Location]],Table4[STORE '#],Table4[DATE RGR])</f>
        <v>46338</v>
      </c>
      <c r="J22" s="52" t="str">
        <f>_xlfn.XLOOKUP(Table39[[#This Row],[Location]],Table1[Location Name],Table1[Weekly Inventory Count Day])</f>
        <v>Thursday</v>
      </c>
      <c r="K22" s="11" t="str">
        <f>_xlfn.XLOOKUP(Table39[[#This Row],[Location]],Table1[Location Name],Table1[FOB Risk Profile])</f>
        <v>Medium</v>
      </c>
      <c r="L22" s="69" t="s">
        <v>182</v>
      </c>
      <c r="M22" t="s">
        <v>307</v>
      </c>
    </row>
    <row r="23" spans="1:16" ht="16" hidden="1" customHeight="1">
      <c r="A23" s="19"/>
      <c r="B23" s="19"/>
      <c r="C23" s="19"/>
      <c r="D23" s="19"/>
      <c r="E23" s="19"/>
      <c r="F23" s="10"/>
      <c r="G23" s="20"/>
      <c r="H23" s="29"/>
      <c r="I23" s="49"/>
      <c r="J23" s="50"/>
      <c r="K23" s="10"/>
      <c r="L23" s="59"/>
    </row>
    <row r="24" spans="1:16">
      <c r="O24" s="101"/>
      <c r="P24" s="101"/>
    </row>
    <row r="26" spans="1:16">
      <c r="O26" s="101"/>
      <c r="P26" s="101"/>
    </row>
  </sheetData>
  <conditionalFormatting sqref="G3:G23">
    <cfRule type="cellIs" dxfId="5" priority="16" operator="lessThanOrEqual">
      <formula>$A$1</formula>
    </cfRule>
    <cfRule type="cellIs" dxfId="4" priority="17" operator="lessThanOrEqual">
      <formula>#REF!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6"/>
  <dimension ref="A1:U37"/>
  <sheetViews>
    <sheetView tabSelected="1" topLeftCell="C1" zoomScaleNormal="100" workbookViewId="0">
      <selection activeCell="N17" sqref="N17"/>
    </sheetView>
  </sheetViews>
  <sheetFormatPr baseColWidth="10" defaultRowHeight="15"/>
  <cols>
    <col min="2" max="2" width="18.83203125" bestFit="1" customWidth="1"/>
    <col min="3" max="3" width="15.1640625" customWidth="1"/>
    <col min="4" max="4" width="15.5" customWidth="1"/>
    <col min="5" max="5" width="17.83203125" customWidth="1"/>
    <col min="6" max="6" width="10.83203125" customWidth="1"/>
    <col min="7" max="7" width="15.83203125" bestFit="1" customWidth="1"/>
    <col min="10" max="10" width="0" hidden="1"/>
    <col min="13" max="13" width="19.5" bestFit="1" customWidth="1"/>
    <col min="14" max="14" width="25.6640625" bestFit="1" customWidth="1"/>
    <col min="17" max="17" width="96.1640625" bestFit="1" customWidth="1"/>
    <col min="18" max="18" width="25.33203125" bestFit="1" customWidth="1"/>
  </cols>
  <sheetData>
    <row r="1" spans="1:20">
      <c r="A1" s="2">
        <f ca="1">TODAY()</f>
        <v>46266</v>
      </c>
      <c r="B1" s="2"/>
      <c r="O1" t="s">
        <v>0</v>
      </c>
    </row>
    <row r="2" spans="1:20">
      <c r="A2" s="54" t="s">
        <v>1</v>
      </c>
      <c r="B2" s="54" t="s">
        <v>2</v>
      </c>
      <c r="C2" s="54" t="s">
        <v>3</v>
      </c>
      <c r="D2" s="54" t="s">
        <v>4</v>
      </c>
      <c r="E2" s="54" t="s">
        <v>5</v>
      </c>
      <c r="F2" s="54" t="s">
        <v>6</v>
      </c>
      <c r="G2" s="54" t="s">
        <v>7</v>
      </c>
      <c r="H2" s="54" t="s">
        <v>8</v>
      </c>
      <c r="I2" s="55" t="s">
        <v>9</v>
      </c>
      <c r="J2" s="54" t="s">
        <v>10</v>
      </c>
      <c r="K2" s="54" t="s">
        <v>11</v>
      </c>
      <c r="L2" s="133" t="s">
        <v>12</v>
      </c>
      <c r="M2" s="62" t="s">
        <v>13</v>
      </c>
      <c r="N2" s="64" t="s">
        <v>14</v>
      </c>
      <c r="O2" s="124" t="s">
        <v>15</v>
      </c>
      <c r="P2" t="s">
        <v>16</v>
      </c>
      <c r="Q2" s="124" t="s">
        <v>17</v>
      </c>
    </row>
    <row r="3" spans="1:20" ht="16" customHeight="1">
      <c r="A3" s="120">
        <v>20475</v>
      </c>
      <c r="B3" s="19" t="s">
        <v>18</v>
      </c>
      <c r="C3" s="113" t="str">
        <f>_xlfn.XLOOKUP($A3,Table1[Location Name],Table1[Supervisor])</f>
        <v>Amanda Estrada</v>
      </c>
      <c r="D3" s="19" t="str">
        <f>_xlfn.XLOOKUP($A3,Table1[Location Name],Table1[GM])</f>
        <v>Derek McGirt</v>
      </c>
      <c r="E3" s="19" t="s">
        <v>19</v>
      </c>
      <c r="F3" s="10" t="s">
        <v>20</v>
      </c>
      <c r="G3" s="20">
        <v>46239</v>
      </c>
      <c r="H3" s="29">
        <v>0.33333333333333331</v>
      </c>
      <c r="I3" s="49">
        <f>_xlfn.XLOOKUP(Table393[[#This Row],[Location]],Table4[STORE '#],Table4[DATE RGR])</f>
        <v>46107</v>
      </c>
      <c r="J3" s="50" t="str">
        <f>_xlfn.XLOOKUP(Table393[[#This Row],[Location]],Table1[Location Name],Table1[Weekly Inventory Count Day])</f>
        <v>Thursday</v>
      </c>
      <c r="K3" s="10"/>
      <c r="L3" s="135">
        <v>46246</v>
      </c>
      <c r="M3" s="125" t="s">
        <v>21</v>
      </c>
      <c r="N3" t="s">
        <v>22</v>
      </c>
      <c r="O3" t="s">
        <v>21</v>
      </c>
      <c r="P3" t="s">
        <v>23</v>
      </c>
      <c r="Q3" t="s">
        <v>24</v>
      </c>
      <c r="R3" s="112">
        <f t="shared" ref="R3:R14" si="0">S3</f>
        <v>46237</v>
      </c>
      <c r="S3" s="2">
        <v>46237</v>
      </c>
    </row>
    <row r="4" spans="1:20" ht="16" customHeight="1">
      <c r="A4" s="120">
        <v>34222</v>
      </c>
      <c r="B4" s="19" t="s">
        <v>25</v>
      </c>
      <c r="C4" s="19" t="str">
        <f>_xlfn.XLOOKUP($A4,Table1[Location Name],Table1[Supervisor])</f>
        <v>Steven Vaughn</v>
      </c>
      <c r="D4" s="19" t="str">
        <f>_xlfn.XLOOKUP($A4,Table1[Location Name],Table1[GM])</f>
        <v>Hunter McKee</v>
      </c>
      <c r="E4" s="19" t="s">
        <v>26</v>
      </c>
      <c r="F4" s="10" t="s">
        <v>20</v>
      </c>
      <c r="G4" s="20">
        <v>46239</v>
      </c>
      <c r="H4" s="29">
        <v>0.33333333333333331</v>
      </c>
      <c r="I4" s="49">
        <f>_xlfn.XLOOKUP(Table393[[#This Row],[Location]],Table4[STORE '#],Table4[DATE RGR])</f>
        <v>46155</v>
      </c>
      <c r="J4" s="50" t="str">
        <f>_xlfn.XLOOKUP(Table393[[#This Row],[Location]],Table1[Location Name],Table1[Weekly Inventory Count Day])</f>
        <v>Monday</v>
      </c>
      <c r="K4" s="10"/>
      <c r="L4" s="135">
        <v>46246</v>
      </c>
      <c r="M4" s="125" t="s">
        <v>27</v>
      </c>
      <c r="N4" t="s">
        <v>21</v>
      </c>
      <c r="O4" t="s">
        <v>22</v>
      </c>
      <c r="P4" t="s">
        <v>23</v>
      </c>
      <c r="Q4" t="s">
        <v>28</v>
      </c>
      <c r="R4" s="112">
        <f t="shared" si="0"/>
        <v>46238</v>
      </c>
      <c r="S4" s="2">
        <v>46238</v>
      </c>
    </row>
    <row r="5" spans="1:20" ht="16" customHeight="1">
      <c r="A5" s="120">
        <v>10422</v>
      </c>
      <c r="B5" s="19" t="s">
        <v>29</v>
      </c>
      <c r="C5" s="19" t="str">
        <f>_xlfn.XLOOKUP($A5,Table1[Location Name],Table1[Supervisor])</f>
        <v>Ashley Podroza</v>
      </c>
      <c r="D5" s="19" t="str">
        <f>_xlfn.XLOOKUP($A5,Table1[Location Name],Table1[GM])</f>
        <v>Ashleyh Hegwer</v>
      </c>
      <c r="E5" s="19" t="s">
        <v>30</v>
      </c>
      <c r="F5" s="10" t="s">
        <v>20</v>
      </c>
      <c r="G5" s="20">
        <v>46240</v>
      </c>
      <c r="H5" s="29">
        <v>0.33333333333333331</v>
      </c>
      <c r="I5" s="49">
        <f>_xlfn.XLOOKUP(Table393[[#This Row],[Location]],Table4[STORE '#],Table4[DATE RGR])</f>
        <v>46051</v>
      </c>
      <c r="J5" s="50" t="str">
        <f>_xlfn.XLOOKUP(Table393[[#This Row],[Location]],Table1[Location Name],Table1[Weekly Inventory Count Day])</f>
        <v>Saturday</v>
      </c>
      <c r="K5" s="10"/>
      <c r="L5" s="135">
        <v>46246</v>
      </c>
      <c r="M5" s="125" t="s">
        <v>27</v>
      </c>
      <c r="N5" s="56" t="s">
        <v>27</v>
      </c>
      <c r="O5" t="s">
        <v>22</v>
      </c>
      <c r="P5" t="s">
        <v>23</v>
      </c>
      <c r="Q5" t="s">
        <v>31</v>
      </c>
      <c r="R5" s="112">
        <f t="shared" si="0"/>
        <v>46239</v>
      </c>
      <c r="S5" s="2">
        <v>46239</v>
      </c>
      <c r="T5" t="s">
        <v>32</v>
      </c>
    </row>
    <row r="6" spans="1:20" ht="16" customHeight="1">
      <c r="A6" s="120">
        <v>43380</v>
      </c>
      <c r="B6" s="19" t="s">
        <v>33</v>
      </c>
      <c r="C6" s="19" t="str">
        <f>_xlfn.XLOOKUP($A6,Table1[Location Name],Table1[Supervisor])</f>
        <v>Ashley Podroza</v>
      </c>
      <c r="D6" s="19" t="str">
        <f>_xlfn.XLOOKUP($A6,Table1[Location Name],Table1[GM])</f>
        <v>Zukarr Eaves</v>
      </c>
      <c r="E6" s="19" t="s">
        <v>34</v>
      </c>
      <c r="F6" s="10" t="s">
        <v>20</v>
      </c>
      <c r="G6" s="20">
        <v>46240</v>
      </c>
      <c r="H6" s="29">
        <v>0.33333333333333331</v>
      </c>
      <c r="I6" s="49">
        <f>_xlfn.XLOOKUP(Table393[[#This Row],[Location]],Table4[STORE '#],Table4[DATE RGR])</f>
        <v>46225</v>
      </c>
      <c r="J6" s="50" t="str">
        <f>_xlfn.XLOOKUP(Table393[[#This Row],[Location]],Table1[Location Name],Table1[Weekly Inventory Count Day])</f>
        <v>Saturday</v>
      </c>
      <c r="K6" s="10"/>
      <c r="L6" s="135">
        <v>46246</v>
      </c>
      <c r="M6" s="125" t="s">
        <v>27</v>
      </c>
      <c r="N6" s="56" t="s">
        <v>22</v>
      </c>
      <c r="O6" t="s">
        <v>27</v>
      </c>
      <c r="P6" t="s">
        <v>35</v>
      </c>
      <c r="Q6" t="s">
        <v>36</v>
      </c>
      <c r="R6" s="112">
        <f t="shared" si="0"/>
        <v>46240</v>
      </c>
      <c r="S6" s="2">
        <v>46240</v>
      </c>
      <c r="T6" t="s">
        <v>37</v>
      </c>
    </row>
    <row r="7" spans="1:20" ht="16" customHeight="1">
      <c r="A7" s="120">
        <v>33704</v>
      </c>
      <c r="B7" s="19" t="s">
        <v>38</v>
      </c>
      <c r="C7" s="113" t="str">
        <f>_xlfn.XLOOKUP($A7,Table1[Location Name],Table1[Supervisor])</f>
        <v>Steven Vaughn</v>
      </c>
      <c r="D7" s="19" t="str">
        <f>_xlfn.XLOOKUP($A7,Table1[Location Name],Table1[GM])</f>
        <v>Candy Barksdale</v>
      </c>
      <c r="E7" s="19" t="s">
        <v>39</v>
      </c>
      <c r="F7" s="10" t="s">
        <v>20</v>
      </c>
      <c r="G7" s="20">
        <v>46246</v>
      </c>
      <c r="H7" s="29">
        <v>0.33333333333333331</v>
      </c>
      <c r="I7" s="49">
        <f>_xlfn.XLOOKUP(Table393[[#This Row],[Location]],Table4[STORE '#],Table4[DATE RGR])</f>
        <v>46127</v>
      </c>
      <c r="J7" s="50" t="str">
        <f>_xlfn.XLOOKUP(Table393[[#This Row],[Location]],Table1[Location Name],Table1[Weekly Inventory Count Day])</f>
        <v>Friday</v>
      </c>
      <c r="K7" s="10"/>
      <c r="L7" s="135">
        <v>46253</v>
      </c>
      <c r="M7" s="125" t="s">
        <v>27</v>
      </c>
      <c r="N7" t="s">
        <v>21</v>
      </c>
      <c r="O7" t="s">
        <v>40</v>
      </c>
      <c r="P7" t="s">
        <v>35</v>
      </c>
      <c r="Q7" t="s">
        <v>41</v>
      </c>
      <c r="R7" s="112">
        <f t="shared" si="0"/>
        <v>46246</v>
      </c>
      <c r="S7" s="2">
        <f>S5+7</f>
        <v>46246</v>
      </c>
      <c r="T7" t="s">
        <v>42</v>
      </c>
    </row>
    <row r="8" spans="1:20" ht="16" customHeight="1">
      <c r="A8" s="120">
        <v>35064</v>
      </c>
      <c r="B8" s="19" t="s">
        <v>43</v>
      </c>
      <c r="C8" s="19" t="str">
        <f>_xlfn.XLOOKUP($A8,Table1[Location Name],Table1[Supervisor])</f>
        <v>Steven Vaughn</v>
      </c>
      <c r="D8" s="19" t="str">
        <f>_xlfn.XLOOKUP($A8,Table1[Location Name],Table1[GM])</f>
        <v>Lynsey Yahola</v>
      </c>
      <c r="E8" s="19" t="s">
        <v>44</v>
      </c>
      <c r="F8" s="10" t="s">
        <v>20</v>
      </c>
      <c r="G8" s="20">
        <v>46246</v>
      </c>
      <c r="H8" s="29">
        <v>0.33333333333333331</v>
      </c>
      <c r="I8" s="49">
        <f>_xlfn.XLOOKUP(Table393[[#This Row],[Location]],Table4[STORE '#],Table4[DATE RGR])</f>
        <v>46211</v>
      </c>
      <c r="J8" s="50" t="str">
        <f>_xlfn.XLOOKUP(Table393[[#This Row],[Location]],Table1[Location Name],Table1[Weekly Inventory Count Day])</f>
        <v>Wednesday</v>
      </c>
      <c r="K8" s="10"/>
      <c r="L8" s="135">
        <v>46253</v>
      </c>
      <c r="M8" s="125" t="s">
        <v>22</v>
      </c>
      <c r="N8" s="56" t="s">
        <v>27</v>
      </c>
      <c r="O8" t="s">
        <v>22</v>
      </c>
      <c r="P8" t="s">
        <v>23</v>
      </c>
      <c r="Q8" t="s">
        <v>45</v>
      </c>
      <c r="R8" s="112">
        <f t="shared" si="0"/>
        <v>46247</v>
      </c>
      <c r="S8" s="2">
        <f>S6+7</f>
        <v>46247</v>
      </c>
    </row>
    <row r="9" spans="1:20" ht="16" customHeight="1">
      <c r="A9" s="120">
        <v>5183</v>
      </c>
      <c r="B9" s="19" t="s">
        <v>46</v>
      </c>
      <c r="C9" s="19" t="str">
        <f>_xlfn.XLOOKUP($A9,Table1[Location Name],Table1[Supervisor])</f>
        <v>Krystiana Langford</v>
      </c>
      <c r="D9" s="19" t="str">
        <f>_xlfn.XLOOKUP($A9,Table1[Location Name],Table1[GM])</f>
        <v>Mukarram Norman</v>
      </c>
      <c r="E9" s="19" t="s">
        <v>47</v>
      </c>
      <c r="F9" s="10" t="s">
        <v>20</v>
      </c>
      <c r="G9" s="20">
        <v>46247</v>
      </c>
      <c r="H9" s="29">
        <v>0.33333333333333331</v>
      </c>
      <c r="I9" s="49">
        <f>_xlfn.XLOOKUP(Table393[[#This Row],[Location]],Table4[STORE '#],Table4[DATE RGR])</f>
        <v>46281</v>
      </c>
      <c r="J9" s="50" t="str">
        <f>_xlfn.XLOOKUP(Table393[[#This Row],[Location]],Table1[Location Name],Table1[Weekly Inventory Count Day])</f>
        <v>Thursday</v>
      </c>
      <c r="K9" s="10"/>
      <c r="L9" s="135">
        <v>46260</v>
      </c>
      <c r="M9" s="125" t="s">
        <v>27</v>
      </c>
      <c r="N9" t="s">
        <v>22</v>
      </c>
      <c r="O9" t="s">
        <v>22</v>
      </c>
      <c r="P9" t="s">
        <v>23</v>
      </c>
      <c r="Q9" t="s">
        <v>48</v>
      </c>
      <c r="R9" s="112">
        <f t="shared" si="0"/>
        <v>46251</v>
      </c>
      <c r="S9" s="2">
        <v>46251</v>
      </c>
    </row>
    <row r="10" spans="1:20" ht="16" customHeight="1">
      <c r="A10" s="120">
        <v>18213</v>
      </c>
      <c r="B10" s="19" t="s">
        <v>49</v>
      </c>
      <c r="C10" s="19" t="str">
        <f>_xlfn.XLOOKUP($A10,Table1[Location Name],Table1[Supervisor])</f>
        <v>Krystiana Langford</v>
      </c>
      <c r="D10" s="19" t="str">
        <f>_xlfn.XLOOKUP($A10,Table1[Location Name],Table1[GM])</f>
        <v>Cora Bahling</v>
      </c>
      <c r="E10" s="19" t="s">
        <v>50</v>
      </c>
      <c r="F10" s="10" t="s">
        <v>20</v>
      </c>
      <c r="G10" s="111">
        <v>46247</v>
      </c>
      <c r="H10" s="29">
        <v>0.33333333333333331</v>
      </c>
      <c r="I10" s="49">
        <f>_xlfn.XLOOKUP(Table393[[#This Row],[Location]],Table4[STORE '#],Table4[DATE RGR])</f>
        <v>46338</v>
      </c>
      <c r="J10" s="50" t="str">
        <f>_xlfn.XLOOKUP(Table393[[#This Row],[Location]],Table1[Location Name],Table1[Weekly Inventory Count Day])</f>
        <v>Thursday</v>
      </c>
      <c r="K10" s="10"/>
      <c r="L10" s="135">
        <v>46253</v>
      </c>
      <c r="M10" s="125" t="s">
        <v>22</v>
      </c>
      <c r="N10" t="s">
        <v>22</v>
      </c>
      <c r="O10" t="s">
        <v>21</v>
      </c>
      <c r="P10" t="s">
        <v>23</v>
      </c>
      <c r="Q10" t="s">
        <v>51</v>
      </c>
      <c r="R10" s="112">
        <f t="shared" si="0"/>
        <v>46252</v>
      </c>
      <c r="S10" s="2">
        <v>46252</v>
      </c>
    </row>
    <row r="11" spans="1:20" ht="16" customHeight="1">
      <c r="A11" s="120">
        <v>5985</v>
      </c>
      <c r="B11" s="19" t="s">
        <v>52</v>
      </c>
      <c r="C11" s="19" t="str">
        <f>_xlfn.XLOOKUP($A11,Table1[Location Name],Table1[Supervisor])</f>
        <v>Ashley Podroza</v>
      </c>
      <c r="D11" s="19" t="str">
        <f>_xlfn.XLOOKUP($A11,Table1[Location Name],Table1[GM])</f>
        <v>Stacey Hyatt</v>
      </c>
      <c r="E11" s="19" t="s">
        <v>53</v>
      </c>
      <c r="F11" s="10" t="s">
        <v>20</v>
      </c>
      <c r="G11" s="20">
        <v>46251</v>
      </c>
      <c r="H11" s="29">
        <v>0.33333333333333331</v>
      </c>
      <c r="I11" s="49">
        <f>_xlfn.XLOOKUP(Table393[[#This Row],[Location]],Table4[STORE '#],Table4[DATE RGR])</f>
        <v>46092</v>
      </c>
      <c r="J11" s="50" t="str">
        <f>_xlfn.XLOOKUP(Table393[[#This Row],[Location]],Table1[Location Name],Table1[Weekly Inventory Count Day])</f>
        <v>Tuesday</v>
      </c>
      <c r="K11" s="10"/>
      <c r="L11" s="135">
        <v>46260</v>
      </c>
      <c r="M11" s="125" t="s">
        <v>40</v>
      </c>
      <c r="N11" t="s">
        <v>27</v>
      </c>
      <c r="O11" t="s">
        <v>27</v>
      </c>
      <c r="P11" t="s">
        <v>35</v>
      </c>
      <c r="Q11" t="s">
        <v>31</v>
      </c>
      <c r="R11" s="112">
        <f t="shared" si="0"/>
        <v>46260</v>
      </c>
      <c r="S11" s="2">
        <v>46260</v>
      </c>
    </row>
    <row r="12" spans="1:20" ht="16" customHeight="1">
      <c r="A12" s="120">
        <v>32525</v>
      </c>
      <c r="B12" s="19" t="s">
        <v>54</v>
      </c>
      <c r="C12" s="113" t="str">
        <f>_xlfn.XLOOKUP($A12,Table1[Location Name],Table1[Supervisor])</f>
        <v>Robert Spencer</v>
      </c>
      <c r="D12" s="19" t="str">
        <f>_xlfn.XLOOKUP($A12,Table1[Location Name],Table1[GM])</f>
        <v>Aliyah Richardson</v>
      </c>
      <c r="E12" s="19" t="s">
        <v>55</v>
      </c>
      <c r="F12" s="10" t="s">
        <v>20</v>
      </c>
      <c r="G12" s="20">
        <v>46251</v>
      </c>
      <c r="H12" s="29">
        <v>0.33333333333333331</v>
      </c>
      <c r="I12" s="49">
        <f>_xlfn.XLOOKUP(Table393[[#This Row],[Location]],Table4[STORE '#],Table4[DATE RGR])</f>
        <v>46337</v>
      </c>
      <c r="J12" s="50" t="str">
        <f>_xlfn.XLOOKUP(Table393[[#This Row],[Location]],Table1[Location Name],Table1[Weekly Inventory Count Day])</f>
        <v>Thursday</v>
      </c>
      <c r="K12" s="10"/>
      <c r="L12" s="135">
        <v>46267</v>
      </c>
      <c r="M12" s="125" t="s">
        <v>27</v>
      </c>
      <c r="N12" t="s">
        <v>21</v>
      </c>
      <c r="O12" t="s">
        <v>22</v>
      </c>
      <c r="P12" t="s">
        <v>23</v>
      </c>
      <c r="Q12" t="s">
        <v>56</v>
      </c>
      <c r="R12" s="112">
        <f t="shared" si="0"/>
        <v>46261</v>
      </c>
      <c r="S12" s="2">
        <v>46261</v>
      </c>
    </row>
    <row r="13" spans="1:20" ht="16" customHeight="1">
      <c r="A13" s="120">
        <v>10915</v>
      </c>
      <c r="B13" s="19" t="s">
        <v>57</v>
      </c>
      <c r="C13" s="19" t="str">
        <f>_xlfn.XLOOKUP($A13,Table1[Location Name],Table1[Supervisor])</f>
        <v>Steven Vaughn</v>
      </c>
      <c r="D13" s="19" t="str">
        <f>_xlfn.XLOOKUP($A13,Table1[Location Name],Table1[GM])</f>
        <v>Caleb Nunnelley</v>
      </c>
      <c r="E13" s="19" t="s">
        <v>58</v>
      </c>
      <c r="F13" s="10" t="s">
        <v>20</v>
      </c>
      <c r="G13" s="20">
        <v>46252</v>
      </c>
      <c r="H13" s="29">
        <v>0.33333333333333331</v>
      </c>
      <c r="I13" s="49">
        <f>_xlfn.XLOOKUP(Table393[[#This Row],[Location]],Table4[STORE '#],Table4[DATE RGR])</f>
        <v>46071</v>
      </c>
      <c r="J13" s="50" t="str">
        <f>_xlfn.XLOOKUP(Table393[[#This Row],[Location]],Table1[Location Name],Table1[Weekly Inventory Count Day])</f>
        <v>Wednesday</v>
      </c>
      <c r="K13" s="10"/>
      <c r="L13" s="135">
        <v>46260</v>
      </c>
      <c r="M13" s="125" t="s">
        <v>59</v>
      </c>
      <c r="N13" t="s">
        <v>22</v>
      </c>
      <c r="O13" t="s">
        <v>21</v>
      </c>
      <c r="P13" t="s">
        <v>23</v>
      </c>
      <c r="Q13" t="s">
        <v>60</v>
      </c>
      <c r="R13" s="112">
        <f t="shared" si="0"/>
        <v>46267</v>
      </c>
      <c r="S13" s="2">
        <f>S11+7</f>
        <v>46267</v>
      </c>
    </row>
    <row r="14" spans="1:20" ht="16" customHeight="1">
      <c r="A14" s="120">
        <v>33109</v>
      </c>
      <c r="B14" s="19" t="s">
        <v>61</v>
      </c>
      <c r="C14" s="19" t="str">
        <f>_xlfn.XLOOKUP($A14,Table1[Location Name],Table1[Supervisor])</f>
        <v>Ashley Podroza</v>
      </c>
      <c r="D14" s="19" t="str">
        <f>_xlfn.XLOOKUP($A14,Table1[Location Name],Table1[GM])</f>
        <v>Rey Araiz</v>
      </c>
      <c r="E14" s="19" t="s">
        <v>62</v>
      </c>
      <c r="F14" s="10" t="s">
        <v>20</v>
      </c>
      <c r="G14" s="20">
        <v>46252</v>
      </c>
      <c r="H14" s="29">
        <v>0.33333333333333331</v>
      </c>
      <c r="I14" s="49">
        <f>_xlfn.XLOOKUP(Table393[[#This Row],[Location]],Table4[STORE '#],Table4[DATE RGR])</f>
        <v>46295</v>
      </c>
      <c r="J14" s="50" t="str">
        <f>_xlfn.XLOOKUP(Table393[[#This Row],[Location]],Table1[Location Name],Table1[Weekly Inventory Count Day])</f>
        <v>Tuesday</v>
      </c>
      <c r="K14" s="10"/>
      <c r="L14" s="135">
        <v>46260</v>
      </c>
      <c r="M14" s="125" t="s">
        <v>22</v>
      </c>
      <c r="N14" t="s">
        <v>27</v>
      </c>
      <c r="O14" t="s">
        <v>22</v>
      </c>
      <c r="P14" t="s">
        <v>23</v>
      </c>
      <c r="Q14" t="s">
        <v>63</v>
      </c>
      <c r="R14" s="112">
        <f t="shared" si="0"/>
        <v>46268</v>
      </c>
      <c r="S14" s="2">
        <f>S12+7</f>
        <v>46268</v>
      </c>
      <c r="T14" t="s">
        <v>64</v>
      </c>
    </row>
    <row r="15" spans="1:20" ht="16" customHeight="1">
      <c r="A15" s="120">
        <v>11657</v>
      </c>
      <c r="B15" s="19" t="s">
        <v>65</v>
      </c>
      <c r="C15" s="19" t="str">
        <f>_xlfn.XLOOKUP($A15,Table1[Location Name],Table1[Supervisor])</f>
        <v>Amanda Estrada</v>
      </c>
      <c r="D15" s="19" t="str">
        <f>_xlfn.XLOOKUP($A15,Table1[Location Name],Table1[GM])</f>
        <v>Jessie Hiatt</v>
      </c>
      <c r="E15" s="19" t="s">
        <v>66</v>
      </c>
      <c r="F15" s="10" t="s">
        <v>20</v>
      </c>
      <c r="G15" s="20">
        <v>46260</v>
      </c>
      <c r="H15" s="29">
        <v>0.33333333333333331</v>
      </c>
      <c r="I15" s="49">
        <f>_xlfn.XLOOKUP(Table393[[#This Row],[Location]],Table4[STORE '#],Table4[DATE RGR])</f>
        <v>46134</v>
      </c>
      <c r="J15" s="50" t="str">
        <f>_xlfn.XLOOKUP(Table393[[#This Row],[Location]],Table1[Location Name],Table1[Weekly Inventory Count Day])</f>
        <v>Thursday</v>
      </c>
      <c r="K15" s="10"/>
      <c r="L15" s="136">
        <v>46267</v>
      </c>
      <c r="M15" s="145" t="s">
        <v>27</v>
      </c>
      <c r="N15" t="s">
        <v>40</v>
      </c>
      <c r="O15" t="s">
        <v>27</v>
      </c>
      <c r="P15" t="s">
        <v>35</v>
      </c>
      <c r="Q15" t="s">
        <v>453</v>
      </c>
    </row>
    <row r="16" spans="1:20" ht="16" customHeight="1">
      <c r="A16" s="120">
        <v>6972</v>
      </c>
      <c r="B16" s="19" t="s">
        <v>67</v>
      </c>
      <c r="C16" s="19" t="str">
        <f>_xlfn.XLOOKUP($A16,Table1[Location Name],Table1[Supervisor])</f>
        <v>Robert Spencer</v>
      </c>
      <c r="D16" s="19" t="str">
        <f>_xlfn.XLOOKUP($A16,Table1[Location Name],Table1[GM])</f>
        <v>Nick Rice</v>
      </c>
      <c r="E16" s="19" t="s">
        <v>68</v>
      </c>
      <c r="F16" s="10" t="s">
        <v>20</v>
      </c>
      <c r="G16" s="20">
        <v>46261</v>
      </c>
      <c r="H16" s="29">
        <v>0.33333333333333331</v>
      </c>
      <c r="I16" s="49">
        <f>_xlfn.XLOOKUP(Table393[[#This Row],[Location]],Table4[STORE '#],Table4[DATE RGR])</f>
        <v>46063</v>
      </c>
      <c r="J16" s="50" t="str">
        <f>_xlfn.XLOOKUP(Table393[[#This Row],[Location]],Table1[Location Name],Table1[Weekly Inventory Count Day])</f>
        <v>Thursday</v>
      </c>
      <c r="K16" s="10"/>
      <c r="L16" s="135">
        <v>46267</v>
      </c>
      <c r="M16" s="146" t="s">
        <v>22</v>
      </c>
      <c r="N16" s="56" t="s">
        <v>22</v>
      </c>
      <c r="O16" t="s">
        <v>21</v>
      </c>
      <c r="P16" t="s">
        <v>23</v>
      </c>
      <c r="Q16" t="s">
        <v>454</v>
      </c>
    </row>
    <row r="17" spans="1:21" ht="16" customHeight="1">
      <c r="A17" s="121">
        <v>31357</v>
      </c>
      <c r="B17" s="30" t="s">
        <v>69</v>
      </c>
      <c r="C17" s="30" t="str">
        <f>_xlfn.XLOOKUP($A17,Table1[Location Name],Table1[Supervisor])</f>
        <v>Amanda Estrada</v>
      </c>
      <c r="D17" s="30" t="str">
        <f>_xlfn.XLOOKUP($A17,Table1[Location Name],Table1[GM])</f>
        <v>Brady Giambaresi</v>
      </c>
      <c r="E17" s="30" t="s">
        <v>70</v>
      </c>
      <c r="F17" s="10" t="s">
        <v>20</v>
      </c>
      <c r="G17" s="31">
        <v>46261</v>
      </c>
      <c r="H17" s="32">
        <v>0.33333333333333331</v>
      </c>
      <c r="I17" s="51">
        <v>46198</v>
      </c>
      <c r="J17" s="52" t="str">
        <f>_xlfn.XLOOKUP(Table393[[#This Row],[Location]],Table1[Location Name],Table1[Weekly Inventory Count Day])</f>
        <v>Thursday</v>
      </c>
      <c r="K17" s="11"/>
      <c r="L17" s="135">
        <v>46267</v>
      </c>
      <c r="M17" s="147" t="s">
        <v>22</v>
      </c>
      <c r="N17" t="s">
        <v>27</v>
      </c>
      <c r="O17" t="s">
        <v>22</v>
      </c>
      <c r="P17" t="s">
        <v>23</v>
      </c>
      <c r="Q17" t="s">
        <v>455</v>
      </c>
      <c r="R17" t="s">
        <v>71</v>
      </c>
    </row>
    <row r="18" spans="1:21" ht="16" customHeight="1">
      <c r="A18" s="121">
        <v>29760</v>
      </c>
      <c r="B18" s="30" t="s">
        <v>72</v>
      </c>
      <c r="C18" s="114" t="str">
        <f>_xlfn.XLOOKUP($A18,Table1[Location Name],Table1[Supervisor])</f>
        <v>Krystiana Langford</v>
      </c>
      <c r="D18" s="30" t="str">
        <f>_xlfn.XLOOKUP($A18,Table1[Location Name],Table1[GM])</f>
        <v>Heather Danforth</v>
      </c>
      <c r="E18" s="30" t="s">
        <v>73</v>
      </c>
      <c r="F18" s="10" t="s">
        <v>20</v>
      </c>
      <c r="G18" s="31">
        <v>46267</v>
      </c>
      <c r="H18" s="32">
        <v>0.33333333333333331</v>
      </c>
      <c r="I18" s="51">
        <f>_xlfn.XLOOKUP(Table393[[#This Row],[Location]],Table4[STORE '#],Table4[DATE RGR])</f>
        <v>46323</v>
      </c>
      <c r="J18" s="52" t="str">
        <f>_xlfn.XLOOKUP(Table393[[#This Row],[Location]],Table1[Location Name],Table1[Weekly Inventory Count Day])</f>
        <v>Thursday</v>
      </c>
      <c r="K18" s="11"/>
      <c r="L18" s="135">
        <v>46267</v>
      </c>
      <c r="M18" s="126"/>
      <c r="N18" s="56"/>
      <c r="R18" t="s">
        <v>74</v>
      </c>
      <c r="U18" t="s">
        <v>75</v>
      </c>
    </row>
    <row r="19" spans="1:21" ht="16" customHeight="1">
      <c r="A19" s="121">
        <v>33222</v>
      </c>
      <c r="B19" s="30" t="s">
        <v>76</v>
      </c>
      <c r="C19" s="30" t="str">
        <f>_xlfn.XLOOKUP($A19,Table1[Location Name],Table1[Supervisor])</f>
        <v>Krystiana Langford</v>
      </c>
      <c r="D19" s="30" t="str">
        <f>_xlfn.XLOOKUP($A19,Table1[Location Name],Table1[GM])</f>
        <v>Carol Escusa</v>
      </c>
      <c r="E19" s="30" t="s">
        <v>73</v>
      </c>
      <c r="F19" s="10" t="s">
        <v>20</v>
      </c>
      <c r="G19" s="31">
        <v>46267</v>
      </c>
      <c r="H19" s="32">
        <v>0.33333333333333331</v>
      </c>
      <c r="I19" s="51">
        <f>_xlfn.XLOOKUP(Table393[[#This Row],[Location]],Table4[STORE '#],Table4[DATE RGR])</f>
        <v>46169</v>
      </c>
      <c r="J19" s="52" t="str">
        <f>_xlfn.XLOOKUP(Table393[[#This Row],[Location]],Table1[Location Name],Table1[Weekly Inventory Count Day])</f>
        <v>Thursday</v>
      </c>
      <c r="K19" s="11"/>
      <c r="L19" s="135">
        <v>46274</v>
      </c>
      <c r="M19" s="126"/>
      <c r="R19" s="101" t="s">
        <v>77</v>
      </c>
      <c r="S19" s="101"/>
      <c r="U19" s="119" t="s">
        <v>78</v>
      </c>
    </row>
    <row r="20" spans="1:21" ht="16" customHeight="1">
      <c r="A20" s="121">
        <v>13113</v>
      </c>
      <c r="B20" s="30" t="s">
        <v>79</v>
      </c>
      <c r="C20" s="30" t="str">
        <f>_xlfn.XLOOKUP($A20,Table1[Location Name],Table1[Supervisor])</f>
        <v>Ashley Podroza</v>
      </c>
      <c r="D20" s="30" t="str">
        <f>_xlfn.XLOOKUP($A20,Table1[Location Name],Table1[GM])</f>
        <v>Chris Abbey</v>
      </c>
      <c r="E20" s="30" t="s">
        <v>80</v>
      </c>
      <c r="F20" s="10" t="s">
        <v>20</v>
      </c>
      <c r="G20" s="31">
        <v>46268</v>
      </c>
      <c r="H20" s="32">
        <v>0.33333333333333331</v>
      </c>
      <c r="I20" s="51">
        <v>46252</v>
      </c>
      <c r="J20" s="52" t="str">
        <f>_xlfn.XLOOKUP(Table393[[#This Row],[Location]],Table1[Location Name],Table1[Weekly Inventory Count Day])</f>
        <v>Tuesday</v>
      </c>
      <c r="K20" s="11"/>
      <c r="L20" s="135">
        <v>46274</v>
      </c>
      <c r="M20" s="126"/>
    </row>
    <row r="21" spans="1:21" ht="16" customHeight="1">
      <c r="A21" s="121">
        <v>3708</v>
      </c>
      <c r="B21" s="30" t="s">
        <v>81</v>
      </c>
      <c r="C21" s="114" t="str">
        <f>_xlfn.XLOOKUP($A21,Table1[Location Name],Table1[Supervisor])</f>
        <v>Robert Spencer</v>
      </c>
      <c r="D21" s="30" t="str">
        <f>_xlfn.XLOOKUP($A21,Table1[Location Name],Table1[GM])</f>
        <v>Cinthya Armedariz</v>
      </c>
      <c r="E21" s="30" t="s">
        <v>82</v>
      </c>
      <c r="F21" s="10" t="s">
        <v>20</v>
      </c>
      <c r="G21" s="31">
        <v>46268</v>
      </c>
      <c r="H21" s="32">
        <v>0.33333333333333331</v>
      </c>
      <c r="I21" s="51">
        <f>_xlfn.XLOOKUP(Table393[[#This Row],[Location]],Table4[STORE '#],Table4[DATE RGR])</f>
        <v>46260</v>
      </c>
      <c r="J21" s="52" t="str">
        <f>_xlfn.XLOOKUP(Table393[[#This Row],[Location]],Table1[Location Name],Table1[Weekly Inventory Count Day])</f>
        <v>Tuesday</v>
      </c>
      <c r="K21" s="11"/>
      <c r="L21" s="135">
        <v>46274</v>
      </c>
      <c r="M21" s="126"/>
      <c r="R21" s="101"/>
      <c r="S21" s="101"/>
    </row>
    <row r="22" spans="1:21" ht="16" customHeight="1">
      <c r="A22" s="121">
        <v>24471</v>
      </c>
      <c r="B22" s="30" t="s">
        <v>83</v>
      </c>
      <c r="C22" s="30" t="str">
        <f>_xlfn.XLOOKUP($A22,Table1[Location Name],Table1[Supervisor])</f>
        <v>Robert Spencer</v>
      </c>
      <c r="D22" s="30" t="str">
        <f>_xlfn.XLOOKUP($A22,Table1[Location Name],Table1[GM])</f>
        <v>Mystykal Abbey</v>
      </c>
      <c r="E22" s="30" t="s">
        <v>84</v>
      </c>
      <c r="F22" s="10" t="s">
        <v>20</v>
      </c>
      <c r="G22" s="31">
        <v>46268</v>
      </c>
      <c r="H22" s="32">
        <v>0.33333333333333331</v>
      </c>
      <c r="I22" s="51">
        <f>_xlfn.XLOOKUP(Table393[[#This Row],[Location]],Table4[STORE '#],Table4[DATE RGR])</f>
        <v>46309</v>
      </c>
      <c r="J22" s="52" t="str">
        <f>_xlfn.XLOOKUP(Table393[[#This Row],[Location]],Table1[Location Name],Table1[Weekly Inventory Count Day])</f>
        <v>Thursday</v>
      </c>
      <c r="K22" s="11"/>
      <c r="L22" s="135">
        <v>46274</v>
      </c>
      <c r="M22" s="126"/>
      <c r="N22" s="56"/>
    </row>
    <row r="23" spans="1:21" ht="16" hidden="1" customHeight="1">
      <c r="A23" s="19"/>
      <c r="B23" s="19"/>
      <c r="C23" s="19"/>
      <c r="D23" s="19"/>
      <c r="E23" s="19"/>
      <c r="F23" s="10"/>
      <c r="G23" s="20"/>
      <c r="H23" s="29"/>
      <c r="I23" s="49"/>
      <c r="J23" s="50"/>
      <c r="K23" s="10"/>
      <c r="L23" s="134"/>
      <c r="M23" s="59"/>
    </row>
    <row r="24" spans="1:21">
      <c r="R24" s="101"/>
      <c r="S24" s="101"/>
    </row>
    <row r="25" spans="1:21">
      <c r="C25" t="s">
        <v>85</v>
      </c>
      <c r="D25" t="s">
        <v>85</v>
      </c>
    </row>
    <row r="26" spans="1:21">
      <c r="A26" s="2">
        <v>46237</v>
      </c>
      <c r="B26" t="s">
        <v>86</v>
      </c>
      <c r="R26" s="101"/>
      <c r="S26" s="101"/>
    </row>
    <row r="27" spans="1:21">
      <c r="A27" s="2">
        <v>46238</v>
      </c>
      <c r="B27" t="s">
        <v>86</v>
      </c>
      <c r="G27" s="2"/>
    </row>
    <row r="28" spans="1:21">
      <c r="A28" s="2">
        <v>46239</v>
      </c>
      <c r="B28" t="s">
        <v>87</v>
      </c>
      <c r="G28" s="2"/>
    </row>
    <row r="29" spans="1:21">
      <c r="A29" s="2">
        <v>46240</v>
      </c>
      <c r="B29" t="s">
        <v>87</v>
      </c>
      <c r="G29" s="2"/>
    </row>
    <row r="30" spans="1:21">
      <c r="A30" s="2">
        <f t="shared" ref="A30:A37" si="1">A28+7</f>
        <v>46246</v>
      </c>
      <c r="B30" t="s">
        <v>87</v>
      </c>
    </row>
    <row r="31" spans="1:21">
      <c r="A31" s="2">
        <f t="shared" si="1"/>
        <v>46247</v>
      </c>
      <c r="B31" t="s">
        <v>87</v>
      </c>
    </row>
    <row r="32" spans="1:21">
      <c r="A32" s="2">
        <f t="shared" si="1"/>
        <v>46253</v>
      </c>
      <c r="B32" t="s">
        <v>87</v>
      </c>
    </row>
    <row r="33" spans="1:2">
      <c r="A33" s="2">
        <f t="shared" si="1"/>
        <v>46254</v>
      </c>
      <c r="B33" t="s">
        <v>87</v>
      </c>
    </row>
    <row r="34" spans="1:2">
      <c r="A34" s="2">
        <f t="shared" si="1"/>
        <v>46260</v>
      </c>
      <c r="B34" t="s">
        <v>87</v>
      </c>
    </row>
    <row r="35" spans="1:2">
      <c r="A35" s="2">
        <f t="shared" si="1"/>
        <v>46261</v>
      </c>
      <c r="B35" t="s">
        <v>87</v>
      </c>
    </row>
    <row r="36" spans="1:2">
      <c r="A36" s="2">
        <f t="shared" si="1"/>
        <v>46267</v>
      </c>
      <c r="B36" t="s">
        <v>87</v>
      </c>
    </row>
    <row r="37" spans="1:2">
      <c r="A37" s="2">
        <f t="shared" si="1"/>
        <v>46268</v>
      </c>
      <c r="B37" t="s">
        <v>87</v>
      </c>
    </row>
  </sheetData>
  <conditionalFormatting sqref="G3:G23">
    <cfRule type="cellIs" dxfId="3" priority="1" operator="lessThanOrEqual">
      <formula>$A$1</formula>
    </cfRule>
    <cfRule type="cellIs" dxfId="2" priority="2" operator="lessThanOrEqual">
      <formula>#REF!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7"/>
  <dimension ref="A2:H29"/>
  <sheetViews>
    <sheetView workbookViewId="0">
      <selection activeCell="D34" sqref="D34"/>
    </sheetView>
  </sheetViews>
  <sheetFormatPr baseColWidth="10" defaultRowHeight="15"/>
  <cols>
    <col min="2" max="2" width="15.5" bestFit="1" customWidth="1"/>
  </cols>
  <sheetData>
    <row r="2" spans="1:8" s="1" customFormat="1" ht="48" customHeight="1">
      <c r="A2" s="12" t="s">
        <v>91</v>
      </c>
      <c r="B2" s="13" t="s">
        <v>4</v>
      </c>
      <c r="C2" s="107" t="s">
        <v>308</v>
      </c>
      <c r="D2" s="107" t="s">
        <v>309</v>
      </c>
      <c r="E2" s="13" t="s">
        <v>113</v>
      </c>
      <c r="F2" s="107" t="s">
        <v>308</v>
      </c>
      <c r="G2" s="107" t="s">
        <v>309</v>
      </c>
      <c r="H2" s="1" t="s">
        <v>310</v>
      </c>
    </row>
    <row r="3" spans="1:8">
      <c r="A3" s="122">
        <v>3708</v>
      </c>
      <c r="B3" s="5" t="s">
        <v>131</v>
      </c>
      <c r="C3" t="s">
        <v>35</v>
      </c>
      <c r="E3" s="108" t="s">
        <v>137</v>
      </c>
      <c r="F3" t="s">
        <v>35</v>
      </c>
      <c r="H3" s="2">
        <v>46128</v>
      </c>
    </row>
    <row r="4" spans="1:8">
      <c r="A4" s="123">
        <v>5183</v>
      </c>
      <c r="B4" s="6" t="s">
        <v>142</v>
      </c>
      <c r="C4" t="s">
        <v>35</v>
      </c>
      <c r="E4" s="109" t="s">
        <v>147</v>
      </c>
      <c r="F4" t="s">
        <v>35</v>
      </c>
      <c r="H4" s="2">
        <v>46128</v>
      </c>
    </row>
    <row r="5" spans="1:8">
      <c r="A5" s="122">
        <v>5985</v>
      </c>
      <c r="B5" s="5" t="s">
        <v>153</v>
      </c>
      <c r="D5" t="s">
        <v>35</v>
      </c>
      <c r="E5" s="5" t="s">
        <v>157</v>
      </c>
      <c r="G5" t="s">
        <v>35</v>
      </c>
      <c r="H5" s="2">
        <v>46184</v>
      </c>
    </row>
    <row r="6" spans="1:8">
      <c r="A6" s="123">
        <v>6972</v>
      </c>
      <c r="B6" s="6" t="s">
        <v>158</v>
      </c>
      <c r="C6" t="s">
        <v>35</v>
      </c>
      <c r="E6" s="6" t="s">
        <v>162</v>
      </c>
      <c r="F6" t="s">
        <v>35</v>
      </c>
      <c r="H6" s="2">
        <v>46128</v>
      </c>
    </row>
    <row r="7" spans="1:8">
      <c r="A7" s="122">
        <v>10422</v>
      </c>
      <c r="B7" s="5" t="s">
        <v>311</v>
      </c>
      <c r="D7" t="s">
        <v>35</v>
      </c>
      <c r="E7" s="108" t="s">
        <v>37</v>
      </c>
      <c r="G7" t="s">
        <v>35</v>
      </c>
      <c r="H7" s="2">
        <v>46184</v>
      </c>
    </row>
    <row r="8" spans="1:8">
      <c r="A8" s="123">
        <v>10915</v>
      </c>
      <c r="B8" s="6" t="s">
        <v>169</v>
      </c>
      <c r="C8" t="s">
        <v>35</v>
      </c>
      <c r="E8" s="6" t="s">
        <v>173</v>
      </c>
      <c r="F8" t="s">
        <v>35</v>
      </c>
      <c r="H8" s="2">
        <v>46128</v>
      </c>
    </row>
    <row r="9" spans="1:8">
      <c r="A9" s="122">
        <v>11657</v>
      </c>
      <c r="B9" s="5" t="s">
        <v>176</v>
      </c>
      <c r="C9" t="s">
        <v>35</v>
      </c>
      <c r="E9" s="5" t="s">
        <v>180</v>
      </c>
      <c r="F9" t="s">
        <v>35</v>
      </c>
      <c r="H9" s="2">
        <v>46128</v>
      </c>
    </row>
    <row r="10" spans="1:8">
      <c r="A10" s="123">
        <v>13113</v>
      </c>
      <c r="B10" s="6" t="s">
        <v>184</v>
      </c>
      <c r="C10" t="s">
        <v>35</v>
      </c>
      <c r="E10" s="6" t="s">
        <v>188</v>
      </c>
      <c r="F10" t="s">
        <v>35</v>
      </c>
      <c r="H10" s="2">
        <v>46128</v>
      </c>
    </row>
    <row r="11" spans="1:8">
      <c r="A11" s="122">
        <v>18213</v>
      </c>
      <c r="B11" s="5" t="s">
        <v>189</v>
      </c>
      <c r="C11" t="s">
        <v>35</v>
      </c>
      <c r="E11" s="5"/>
      <c r="F11" t="s">
        <v>35</v>
      </c>
      <c r="H11" s="2">
        <v>46128</v>
      </c>
    </row>
    <row r="12" spans="1:8">
      <c r="A12" s="123">
        <v>20475</v>
      </c>
      <c r="B12" s="6" t="s">
        <v>194</v>
      </c>
      <c r="D12" t="s">
        <v>35</v>
      </c>
      <c r="E12" s="6" t="s">
        <v>198</v>
      </c>
      <c r="G12" t="s">
        <v>35</v>
      </c>
      <c r="H12" s="2">
        <v>46184</v>
      </c>
    </row>
    <row r="13" spans="1:8">
      <c r="A13" s="122">
        <v>24471</v>
      </c>
      <c r="B13" s="5" t="s">
        <v>199</v>
      </c>
      <c r="C13" t="s">
        <v>35</v>
      </c>
      <c r="E13" s="108" t="s">
        <v>203</v>
      </c>
      <c r="F13" t="s">
        <v>35</v>
      </c>
      <c r="H13" s="2">
        <v>46128</v>
      </c>
    </row>
    <row r="14" spans="1:8">
      <c r="A14" s="123">
        <v>29760</v>
      </c>
      <c r="B14" s="6" t="s">
        <v>204</v>
      </c>
      <c r="D14" t="s">
        <v>35</v>
      </c>
      <c r="E14" s="6" t="s">
        <v>208</v>
      </c>
      <c r="G14" t="s">
        <v>35</v>
      </c>
      <c r="H14" s="2">
        <v>46184</v>
      </c>
    </row>
    <row r="15" spans="1:8">
      <c r="A15" s="122">
        <v>31357</v>
      </c>
      <c r="B15" s="5" t="s">
        <v>210</v>
      </c>
      <c r="C15" t="s">
        <v>35</v>
      </c>
      <c r="E15" s="110" t="s">
        <v>214</v>
      </c>
      <c r="F15" t="s">
        <v>35</v>
      </c>
      <c r="H15" s="2">
        <v>46128</v>
      </c>
    </row>
    <row r="16" spans="1:8">
      <c r="A16" s="123">
        <v>32525</v>
      </c>
      <c r="B16" s="6" t="s">
        <v>215</v>
      </c>
      <c r="C16" t="s">
        <v>35</v>
      </c>
      <c r="E16" s="6" t="s">
        <v>218</v>
      </c>
      <c r="F16" t="s">
        <v>35</v>
      </c>
      <c r="H16" s="2">
        <v>46128</v>
      </c>
    </row>
    <row r="17" spans="1:8">
      <c r="A17" s="122">
        <v>33109</v>
      </c>
      <c r="B17" s="5" t="s">
        <v>220</v>
      </c>
      <c r="D17" t="s">
        <v>35</v>
      </c>
      <c r="E17" s="5"/>
      <c r="G17" t="s">
        <v>35</v>
      </c>
      <c r="H17" s="2">
        <v>46184</v>
      </c>
    </row>
    <row r="18" spans="1:8">
      <c r="A18" s="123">
        <v>33222</v>
      </c>
      <c r="B18" s="6" t="s">
        <v>225</v>
      </c>
      <c r="C18" t="s">
        <v>35</v>
      </c>
      <c r="E18" s="6" t="s">
        <v>228</v>
      </c>
      <c r="F18" t="s">
        <v>35</v>
      </c>
      <c r="H18" s="2">
        <v>46128</v>
      </c>
    </row>
    <row r="19" spans="1:8">
      <c r="A19" s="122">
        <v>33704</v>
      </c>
      <c r="B19" s="5" t="s">
        <v>229</v>
      </c>
      <c r="C19" t="s">
        <v>35</v>
      </c>
      <c r="E19" s="110" t="s">
        <v>233</v>
      </c>
      <c r="F19" t="s">
        <v>35</v>
      </c>
      <c r="H19" s="2">
        <v>46128</v>
      </c>
    </row>
    <row r="20" spans="1:8">
      <c r="A20" s="123">
        <v>34222</v>
      </c>
      <c r="B20" s="6" t="s">
        <v>234</v>
      </c>
      <c r="D20" t="s">
        <v>35</v>
      </c>
      <c r="E20" s="6" t="s">
        <v>238</v>
      </c>
      <c r="G20" t="s">
        <v>35</v>
      </c>
      <c r="H20" s="2">
        <v>46184</v>
      </c>
    </row>
    <row r="21" spans="1:8">
      <c r="A21" s="122">
        <v>35064</v>
      </c>
      <c r="B21" s="5" t="s">
        <v>240</v>
      </c>
      <c r="C21" t="s">
        <v>35</v>
      </c>
      <c r="E21" s="108" t="s">
        <v>244</v>
      </c>
      <c r="F21" t="s">
        <v>35</v>
      </c>
      <c r="H21" s="2">
        <v>46128</v>
      </c>
    </row>
    <row r="22" spans="1:8">
      <c r="A22" s="123">
        <v>43380</v>
      </c>
      <c r="B22" s="6" t="s">
        <v>246</v>
      </c>
      <c r="D22" t="s">
        <v>35</v>
      </c>
      <c r="E22" s="109" t="s">
        <v>250</v>
      </c>
      <c r="G22" t="s">
        <v>35</v>
      </c>
      <c r="H22" s="2">
        <v>46184</v>
      </c>
    </row>
    <row r="23" spans="1:8">
      <c r="A23" s="122">
        <v>6178</v>
      </c>
      <c r="B23" s="5" t="s">
        <v>255</v>
      </c>
      <c r="C23" t="s">
        <v>23</v>
      </c>
      <c r="D23" t="s">
        <v>23</v>
      </c>
      <c r="F23" t="s">
        <v>23</v>
      </c>
      <c r="G23" t="s">
        <v>23</v>
      </c>
    </row>
    <row r="24" spans="1:8">
      <c r="A24" s="123">
        <v>6838</v>
      </c>
      <c r="B24" s="6" t="s">
        <v>259</v>
      </c>
      <c r="C24" t="s">
        <v>23</v>
      </c>
      <c r="D24" t="s">
        <v>23</v>
      </c>
      <c r="F24" t="s">
        <v>23</v>
      </c>
      <c r="G24" t="s">
        <v>23</v>
      </c>
    </row>
    <row r="25" spans="1:8">
      <c r="A25" s="122">
        <v>10034</v>
      </c>
      <c r="B25" s="5" t="s">
        <v>262</v>
      </c>
      <c r="C25" t="s">
        <v>23</v>
      </c>
      <c r="D25" t="s">
        <v>23</v>
      </c>
      <c r="F25" t="s">
        <v>23</v>
      </c>
      <c r="G25" t="s">
        <v>23</v>
      </c>
    </row>
    <row r="26" spans="1:8">
      <c r="A26" s="123">
        <v>35242</v>
      </c>
      <c r="B26" s="6" t="s">
        <v>266</v>
      </c>
      <c r="C26" t="s">
        <v>23</v>
      </c>
      <c r="D26" t="s">
        <v>23</v>
      </c>
      <c r="F26" t="s">
        <v>23</v>
      </c>
      <c r="G26" t="s">
        <v>23</v>
      </c>
    </row>
    <row r="27" spans="1:8">
      <c r="A27" s="122">
        <v>37566</v>
      </c>
      <c r="B27" s="5" t="s">
        <v>269</v>
      </c>
      <c r="C27" t="s">
        <v>23</v>
      </c>
      <c r="D27" t="s">
        <v>23</v>
      </c>
      <c r="F27" t="s">
        <v>23</v>
      </c>
      <c r="G27" t="s">
        <v>23</v>
      </c>
    </row>
    <row r="28" spans="1:8">
      <c r="A28" s="123">
        <v>38609</v>
      </c>
      <c r="B28" s="6" t="s">
        <v>272</v>
      </c>
      <c r="C28" t="s">
        <v>23</v>
      </c>
      <c r="D28" t="s">
        <v>23</v>
      </c>
      <c r="F28" t="s">
        <v>23</v>
      </c>
      <c r="G28" t="s">
        <v>23</v>
      </c>
    </row>
    <row r="29" spans="1:8">
      <c r="A29" s="122">
        <v>43701</v>
      </c>
      <c r="B29" s="5" t="s">
        <v>275</v>
      </c>
      <c r="C29" t="s">
        <v>23</v>
      </c>
      <c r="D29" t="s">
        <v>23</v>
      </c>
      <c r="F29" t="s">
        <v>23</v>
      </c>
      <c r="G29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A263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W52" sqref="W52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14" width="10.83203125" style="28" customWidth="1"/>
    <col min="15" max="20" width="11" style="28" bestFit="1" customWidth="1"/>
    <col min="21" max="21" width="11.5" style="28" bestFit="1" customWidth="1"/>
    <col min="22" max="22" width="11" style="28" bestFit="1" customWidth="1"/>
  </cols>
  <sheetData>
    <row r="1" spans="1:22">
      <c r="A1" s="54" t="s">
        <v>1</v>
      </c>
      <c r="B1" s="72">
        <v>3708</v>
      </c>
      <c r="C1" s="55" t="s">
        <v>9</v>
      </c>
      <c r="D1" s="74">
        <f>_xlfn.XLOOKUP(B1,'FC-Inv Setup'!A3:A22,'FC-Inv Setup'!I3:I22)</f>
        <v>46260</v>
      </c>
      <c r="E1" s="71"/>
      <c r="F1" s="47" t="s">
        <v>7</v>
      </c>
      <c r="G1" s="47" t="s">
        <v>8</v>
      </c>
      <c r="K1" s="63" t="s">
        <v>126</v>
      </c>
      <c r="L1" s="70" t="s">
        <v>127</v>
      </c>
    </row>
    <row r="2" spans="1:22">
      <c r="A2" s="54" t="s">
        <v>3</v>
      </c>
      <c r="B2" s="73" t="str">
        <f>_xlfn.XLOOKUP(B1,'FC-Inv Setup'!A3:A22,'FC-Inv Setup'!C3:C22)</f>
        <v>Robert Spencer</v>
      </c>
      <c r="C2" s="54" t="s">
        <v>125</v>
      </c>
      <c r="D2" s="73" t="str">
        <f>_xlfn.XLOOKUP(B1,'FC-Inv Setup'!A3:A22,'FC-Inv Setup'!K3:K22)</f>
        <v>Medium</v>
      </c>
    </row>
    <row r="3" spans="1:22">
      <c r="A3" s="54" t="s">
        <v>4</v>
      </c>
      <c r="B3" s="73" t="str">
        <f>_xlfn.XLOOKUP(B1,'FC-Inv Setup'!A3:A22,'FC-Inv Setup'!D3:D22)</f>
        <v>Cinthya Armedariz</v>
      </c>
      <c r="D3" s="73"/>
    </row>
    <row r="4" spans="1:22">
      <c r="A4" s="54" t="s">
        <v>124</v>
      </c>
      <c r="B4" s="73" t="str">
        <f>_xlfn.XLOOKUP(B1,'FC-Inv Setup'!A3:A22,'FC-Inv Setup'!E3:E22)</f>
        <v>Cinthya</v>
      </c>
      <c r="D4" s="73"/>
    </row>
    <row r="5" spans="1:22">
      <c r="A5" s="54" t="s">
        <v>10</v>
      </c>
      <c r="B5" s="73" t="str">
        <f>_xlfn.XLOOKUP(B1,'FC-Inv Setup'!A3:A22,'FC-Inv Setup'!J3:J22)</f>
        <v>Tuesday</v>
      </c>
      <c r="D5" s="73"/>
    </row>
    <row r="6" spans="1:22">
      <c r="C6" s="28" t="s">
        <v>312</v>
      </c>
      <c r="D6" s="28" t="s">
        <v>312</v>
      </c>
    </row>
    <row r="7" spans="1:22" s="2" customFormat="1">
      <c r="A7" s="45" t="s">
        <v>313</v>
      </c>
      <c r="B7" s="86" t="s">
        <v>314</v>
      </c>
      <c r="C7" s="86">
        <v>46028</v>
      </c>
      <c r="D7" s="86">
        <v>46035</v>
      </c>
      <c r="E7" s="86">
        <v>46042</v>
      </c>
      <c r="F7" s="86">
        <v>46049</v>
      </c>
      <c r="G7" s="75" t="s">
        <v>315</v>
      </c>
      <c r="H7" s="75">
        <v>46056</v>
      </c>
      <c r="I7" s="75">
        <v>46063</v>
      </c>
      <c r="J7" s="75">
        <v>46070</v>
      </c>
      <c r="K7" s="75">
        <v>46077</v>
      </c>
      <c r="L7" s="75" t="s">
        <v>316</v>
      </c>
      <c r="M7" s="75">
        <v>46084</v>
      </c>
      <c r="N7" s="75">
        <v>46091</v>
      </c>
      <c r="O7" s="75">
        <v>46098</v>
      </c>
      <c r="P7" s="75">
        <v>46105</v>
      </c>
      <c r="Q7" s="75" t="s">
        <v>317</v>
      </c>
      <c r="R7" s="75" t="s">
        <v>318</v>
      </c>
      <c r="S7" s="75" t="s">
        <v>319</v>
      </c>
      <c r="T7" s="75" t="s">
        <v>320</v>
      </c>
      <c r="U7" s="75" t="s">
        <v>321</v>
      </c>
      <c r="V7" s="87" t="s">
        <v>322</v>
      </c>
    </row>
    <row r="8" spans="1:22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77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8" t="s">
        <v>324</v>
      </c>
    </row>
    <row r="9" spans="1:22">
      <c r="A9" s="85" t="s">
        <v>325</v>
      </c>
      <c r="B9" s="79">
        <v>354316.7</v>
      </c>
      <c r="C9" s="79"/>
      <c r="D9" s="79"/>
      <c r="E9" s="79">
        <v>81427.39</v>
      </c>
      <c r="F9" s="79">
        <v>65262.07</v>
      </c>
      <c r="G9" s="79">
        <v>306572.28999999998</v>
      </c>
      <c r="H9" s="79">
        <v>31584.29</v>
      </c>
      <c r="I9" s="79">
        <v>84327.35</v>
      </c>
      <c r="J9" s="79">
        <v>81369.78</v>
      </c>
      <c r="K9" s="79">
        <v>87050.44</v>
      </c>
      <c r="L9" s="79">
        <v>303713.40000000002</v>
      </c>
      <c r="M9" s="79">
        <v>32757.7</v>
      </c>
      <c r="N9" s="79">
        <v>86003.9</v>
      </c>
      <c r="O9" s="79">
        <v>87353.68</v>
      </c>
      <c r="P9" s="79">
        <v>89351.12</v>
      </c>
      <c r="Q9" s="79"/>
      <c r="R9" s="79"/>
      <c r="S9" s="79"/>
      <c r="T9" s="79"/>
      <c r="U9" s="79"/>
      <c r="V9" s="80"/>
    </row>
    <row r="10" spans="1:22">
      <c r="A10" s="84" t="s">
        <v>326</v>
      </c>
      <c r="B10" s="76">
        <v>3.88</v>
      </c>
      <c r="C10" s="76"/>
      <c r="D10" s="76"/>
      <c r="E10" s="76">
        <v>4.04</v>
      </c>
      <c r="F10" s="76">
        <v>3.9</v>
      </c>
      <c r="G10" s="76">
        <v>3.61</v>
      </c>
      <c r="H10" s="76">
        <v>3.25</v>
      </c>
      <c r="I10" s="76">
        <v>4.13</v>
      </c>
      <c r="J10" s="76">
        <v>3.54</v>
      </c>
      <c r="K10" s="76">
        <v>3.65</v>
      </c>
      <c r="L10" s="76">
        <v>3.78</v>
      </c>
      <c r="M10" s="76">
        <v>3.2</v>
      </c>
      <c r="N10" s="76">
        <v>4.12</v>
      </c>
      <c r="O10" s="76">
        <v>4.2</v>
      </c>
      <c r="P10" s="76">
        <v>3.52</v>
      </c>
      <c r="Q10" s="76"/>
      <c r="R10" s="76"/>
      <c r="S10" s="76"/>
      <c r="T10" s="76"/>
      <c r="U10" s="76"/>
      <c r="V10" s="81"/>
    </row>
    <row r="11" spans="1:22">
      <c r="A11" s="85" t="s">
        <v>327</v>
      </c>
      <c r="B11" s="79">
        <v>13743.68</v>
      </c>
      <c r="C11" s="79"/>
      <c r="D11" s="79"/>
      <c r="E11" s="79">
        <v>3291.54</v>
      </c>
      <c r="F11" s="79">
        <v>2542.0300000000002</v>
      </c>
      <c r="G11" s="79">
        <v>11064.99</v>
      </c>
      <c r="H11" s="79">
        <v>1025.02</v>
      </c>
      <c r="I11" s="79">
        <v>3480.74</v>
      </c>
      <c r="J11" s="79">
        <v>2881.61</v>
      </c>
      <c r="K11" s="79">
        <v>3176.24</v>
      </c>
      <c r="L11" s="79">
        <v>11492.28</v>
      </c>
      <c r="M11" s="79">
        <v>1047.04</v>
      </c>
      <c r="N11" s="79">
        <v>3450.35</v>
      </c>
      <c r="O11" s="79">
        <v>3672.73</v>
      </c>
      <c r="P11" s="79">
        <v>3141.67</v>
      </c>
      <c r="Q11" s="79"/>
      <c r="R11" s="79"/>
      <c r="S11" s="79"/>
      <c r="T11" s="79"/>
      <c r="U11" s="79"/>
      <c r="V11" s="80"/>
    </row>
    <row r="12" spans="1:22">
      <c r="A12" s="84" t="s">
        <v>328</v>
      </c>
      <c r="B12" s="76">
        <v>0.38</v>
      </c>
      <c r="C12" s="76"/>
      <c r="D12" s="76"/>
      <c r="E12" s="76">
        <v>0.48</v>
      </c>
      <c r="F12" s="76">
        <v>0.43</v>
      </c>
      <c r="G12" s="76">
        <v>0.46</v>
      </c>
      <c r="H12" s="76">
        <v>0.24</v>
      </c>
      <c r="I12" s="76">
        <v>0.43</v>
      </c>
      <c r="J12" s="76">
        <v>0.36</v>
      </c>
      <c r="K12" s="76">
        <v>0.32</v>
      </c>
      <c r="L12" s="76">
        <v>0.34</v>
      </c>
      <c r="M12" s="88">
        <v>0.27</v>
      </c>
      <c r="N12" s="76">
        <v>0.41</v>
      </c>
      <c r="O12" s="76">
        <v>0.42</v>
      </c>
      <c r="P12" s="76">
        <v>0.45</v>
      </c>
      <c r="Q12" s="76"/>
      <c r="R12" s="76"/>
      <c r="S12" s="76"/>
      <c r="T12" s="76"/>
      <c r="U12" s="76"/>
      <c r="V12" s="81"/>
    </row>
    <row r="13" spans="1:22">
      <c r="A13" s="85" t="s">
        <v>329</v>
      </c>
      <c r="B13" s="79">
        <v>0.37</v>
      </c>
      <c r="C13" s="79"/>
      <c r="D13" s="79"/>
      <c r="E13" s="79">
        <v>0.54</v>
      </c>
      <c r="F13" s="79">
        <v>0.64</v>
      </c>
      <c r="G13" s="79">
        <v>0.61</v>
      </c>
      <c r="H13" s="79">
        <v>0.52</v>
      </c>
      <c r="I13" s="79">
        <v>0.53</v>
      </c>
      <c r="J13" s="79">
        <v>0.52</v>
      </c>
      <c r="K13" s="79">
        <v>0.47</v>
      </c>
      <c r="L13" s="79">
        <v>0.51</v>
      </c>
      <c r="M13" s="79">
        <v>0.41</v>
      </c>
      <c r="N13" s="79">
        <v>0.56000000000000005</v>
      </c>
      <c r="O13" s="79">
        <v>0.42</v>
      </c>
      <c r="P13" s="79">
        <v>0.33</v>
      </c>
      <c r="Q13" s="79"/>
      <c r="R13" s="79"/>
      <c r="S13" s="79"/>
      <c r="T13" s="79"/>
      <c r="U13" s="79"/>
      <c r="V13" s="80"/>
    </row>
    <row r="14" spans="1:22">
      <c r="A14" s="84" t="s">
        <v>330</v>
      </c>
      <c r="B14" s="76">
        <v>1.95</v>
      </c>
      <c r="C14" s="76"/>
      <c r="D14" s="76"/>
      <c r="E14" s="76">
        <v>2.2799999999999998</v>
      </c>
      <c r="F14" s="76">
        <v>2.44</v>
      </c>
      <c r="G14" s="76">
        <v>2.11</v>
      </c>
      <c r="H14" s="76">
        <v>2.12</v>
      </c>
      <c r="I14" s="76">
        <v>2.36</v>
      </c>
      <c r="J14" s="76">
        <v>2.48</v>
      </c>
      <c r="K14" s="76">
        <v>2.11</v>
      </c>
      <c r="L14" s="76">
        <v>2.16</v>
      </c>
      <c r="M14" s="76">
        <v>2.16</v>
      </c>
      <c r="N14" s="76">
        <v>1.92</v>
      </c>
      <c r="O14" s="76">
        <v>2.02</v>
      </c>
      <c r="P14" s="76">
        <v>1.93</v>
      </c>
      <c r="Q14" s="76"/>
      <c r="R14" s="76"/>
      <c r="S14" s="76"/>
      <c r="T14" s="76"/>
      <c r="U14" s="76"/>
      <c r="V14" s="81"/>
    </row>
    <row r="15" spans="1:22">
      <c r="A15" s="85" t="s">
        <v>331</v>
      </c>
      <c r="B15" s="79">
        <v>0.18</v>
      </c>
      <c r="C15" s="79"/>
      <c r="D15" s="79"/>
      <c r="E15" s="79">
        <v>0.21</v>
      </c>
      <c r="F15" s="79">
        <v>0.23</v>
      </c>
      <c r="G15" s="79">
        <v>0.22</v>
      </c>
      <c r="H15" s="79">
        <v>0.2</v>
      </c>
      <c r="I15" s="79">
        <v>0.19</v>
      </c>
      <c r="J15" s="79">
        <v>0.21</v>
      </c>
      <c r="K15" s="79">
        <v>0.2</v>
      </c>
      <c r="L15" s="79">
        <v>0.2</v>
      </c>
      <c r="M15" s="79">
        <v>0.22</v>
      </c>
      <c r="N15" s="79">
        <v>0.19</v>
      </c>
      <c r="O15" s="79">
        <v>0.16</v>
      </c>
      <c r="P15" s="79">
        <v>0.17</v>
      </c>
      <c r="Q15" s="79"/>
      <c r="R15" s="79"/>
      <c r="S15" s="79"/>
      <c r="T15" s="79"/>
      <c r="U15" s="79"/>
      <c r="V15" s="80"/>
    </row>
    <row r="16" spans="1:22">
      <c r="A16" s="84" t="s">
        <v>332</v>
      </c>
      <c r="B16" s="76">
        <v>1.31</v>
      </c>
      <c r="C16" s="76"/>
      <c r="D16" s="76"/>
      <c r="E16" s="76">
        <v>1.49</v>
      </c>
      <c r="F16" s="76">
        <v>1.48</v>
      </c>
      <c r="G16" s="76">
        <v>0.8</v>
      </c>
      <c r="H16" s="76">
        <v>-7.0000000000000007E-2</v>
      </c>
      <c r="I16" s="76">
        <v>1.28</v>
      </c>
      <c r="J16" s="76">
        <v>0.49</v>
      </c>
      <c r="K16" s="76">
        <v>1.44</v>
      </c>
      <c r="L16" s="76">
        <v>1.1499999999999999</v>
      </c>
      <c r="M16" s="76">
        <v>-0.08</v>
      </c>
      <c r="N16" s="76">
        <v>1.99</v>
      </c>
      <c r="O16" s="76">
        <v>2.1800000000000002</v>
      </c>
      <c r="P16" s="76">
        <v>1.58</v>
      </c>
      <c r="Q16" s="76"/>
      <c r="R16" s="76"/>
      <c r="S16" s="76"/>
      <c r="T16" s="76"/>
      <c r="U16" s="76"/>
      <c r="V16" s="81"/>
    </row>
    <row r="17" spans="1:22">
      <c r="A17" s="85" t="s">
        <v>333</v>
      </c>
      <c r="B17" s="79">
        <v>-0.02</v>
      </c>
      <c r="C17" s="79"/>
      <c r="D17" s="79"/>
      <c r="E17" s="79">
        <v>-0.05</v>
      </c>
      <c r="F17" s="79">
        <v>0</v>
      </c>
      <c r="G17" s="79">
        <v>-0.05</v>
      </c>
      <c r="H17" s="79">
        <v>7.0000000000000007E-2</v>
      </c>
      <c r="I17" s="79">
        <v>0.01</v>
      </c>
      <c r="J17" s="79">
        <v>-0.03</v>
      </c>
      <c r="K17" s="79">
        <v>-0.02</v>
      </c>
      <c r="L17" s="79">
        <v>0.01</v>
      </c>
      <c r="M17" s="79">
        <v>-0.03</v>
      </c>
      <c r="N17" s="79">
        <v>-0.05</v>
      </c>
      <c r="O17" s="79">
        <v>-0.08</v>
      </c>
      <c r="P17" s="79">
        <v>-0.06</v>
      </c>
      <c r="Q17" s="79"/>
      <c r="R17" s="79"/>
      <c r="S17" s="79"/>
      <c r="T17" s="79"/>
      <c r="U17" s="79"/>
      <c r="V17" s="80"/>
    </row>
    <row r="18" spans="1:22">
      <c r="A18" s="84" t="s">
        <v>334</v>
      </c>
      <c r="B18" s="76">
        <v>4.17</v>
      </c>
      <c r="C18" s="76"/>
      <c r="D18" s="76"/>
      <c r="E18" s="76">
        <v>4.95</v>
      </c>
      <c r="F18" s="76">
        <v>5.22</v>
      </c>
      <c r="G18" s="76">
        <v>4.1500000000000004</v>
      </c>
      <c r="H18" s="76">
        <v>3.08</v>
      </c>
      <c r="I18" s="76">
        <v>4.8</v>
      </c>
      <c r="J18" s="76">
        <v>4.03</v>
      </c>
      <c r="K18" s="76">
        <v>4.5199999999999996</v>
      </c>
      <c r="L18" s="76">
        <v>4.37</v>
      </c>
      <c r="M18" s="76">
        <v>2.95</v>
      </c>
      <c r="N18" s="76">
        <v>5.0199999999999996</v>
      </c>
      <c r="O18" s="76">
        <v>5.12</v>
      </c>
      <c r="P18" s="76">
        <v>4.4000000000000004</v>
      </c>
      <c r="Q18" s="76"/>
      <c r="R18" s="76"/>
      <c r="S18" s="76"/>
      <c r="T18" s="76"/>
      <c r="U18" s="76"/>
      <c r="V18" s="81"/>
    </row>
    <row r="19" spans="1:22">
      <c r="A19" s="85" t="s">
        <v>335</v>
      </c>
      <c r="B19" s="79">
        <v>22.7460480814802</v>
      </c>
      <c r="C19" s="79"/>
      <c r="D19" s="79"/>
      <c r="E19" s="79">
        <v>23.065832083720299</v>
      </c>
      <c r="F19" s="79">
        <v>23.154795175553598</v>
      </c>
      <c r="G19" s="79">
        <v>23.0321208484783</v>
      </c>
      <c r="H19" s="79">
        <v>23.1337485739062</v>
      </c>
      <c r="I19" s="79">
        <v>23.196849933438301</v>
      </c>
      <c r="J19" s="79">
        <v>23.203236076110599</v>
      </c>
      <c r="K19" s="79">
        <v>22.992445274468199</v>
      </c>
      <c r="L19" s="79">
        <v>23.0946494519985</v>
      </c>
      <c r="M19" s="79">
        <v>22.741087205939898</v>
      </c>
      <c r="N19" s="79">
        <v>23.239368775246199</v>
      </c>
      <c r="O19" s="79">
        <v>23.2431492464505</v>
      </c>
      <c r="P19" s="79">
        <v>23.103798800271001</v>
      </c>
      <c r="Q19" s="79"/>
      <c r="R19" s="79"/>
      <c r="S19" s="79"/>
      <c r="T19" s="79"/>
      <c r="U19" s="79"/>
      <c r="V19" s="80"/>
    </row>
    <row r="20" spans="1:22">
      <c r="A20" s="84" t="s">
        <v>336</v>
      </c>
      <c r="B20" s="76">
        <v>1.29</v>
      </c>
      <c r="C20" s="76"/>
      <c r="D20" s="76"/>
      <c r="E20" s="76">
        <v>1.26</v>
      </c>
      <c r="F20" s="76">
        <v>1.3</v>
      </c>
      <c r="G20" s="76">
        <v>1.32</v>
      </c>
      <c r="H20" s="76">
        <v>1.26</v>
      </c>
      <c r="I20" s="76">
        <v>1.29</v>
      </c>
      <c r="J20" s="76">
        <v>1.24</v>
      </c>
      <c r="K20" s="76">
        <v>1.33</v>
      </c>
      <c r="L20" s="76">
        <v>1.3</v>
      </c>
      <c r="M20" s="76">
        <v>1.39</v>
      </c>
      <c r="N20" s="76">
        <v>1.43</v>
      </c>
      <c r="O20" s="76">
        <v>1.65</v>
      </c>
      <c r="P20" s="76">
        <v>1.65</v>
      </c>
      <c r="Q20" s="76"/>
      <c r="R20" s="76"/>
      <c r="S20" s="76"/>
      <c r="T20" s="76"/>
      <c r="U20" s="76"/>
      <c r="V20" s="81"/>
    </row>
    <row r="21" spans="1:22">
      <c r="A21" s="85" t="s">
        <v>337</v>
      </c>
      <c r="B21" s="79">
        <v>28.2</v>
      </c>
      <c r="C21" s="79"/>
      <c r="D21" s="79"/>
      <c r="E21" s="79">
        <v>29.28</v>
      </c>
      <c r="F21" s="79">
        <v>29.68</v>
      </c>
      <c r="G21" s="79">
        <v>28.49</v>
      </c>
      <c r="H21" s="79">
        <v>27.47</v>
      </c>
      <c r="I21" s="79">
        <v>29.29</v>
      </c>
      <c r="J21" s="79">
        <v>28.48</v>
      </c>
      <c r="K21" s="79">
        <v>28.85</v>
      </c>
      <c r="L21" s="79">
        <v>28.77</v>
      </c>
      <c r="M21" s="79">
        <v>27.08</v>
      </c>
      <c r="N21" s="79">
        <v>29.69</v>
      </c>
      <c r="O21" s="79">
        <v>30.01</v>
      </c>
      <c r="P21" s="79">
        <v>29.16</v>
      </c>
      <c r="Q21" s="79"/>
      <c r="R21" s="79"/>
      <c r="S21" s="79"/>
      <c r="T21" s="79"/>
      <c r="U21" s="79"/>
      <c r="V21" s="80"/>
    </row>
    <row r="22" spans="1:22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81"/>
    </row>
    <row r="23" spans="1:22">
      <c r="A23" s="85" t="s">
        <v>339</v>
      </c>
      <c r="B23" s="79">
        <v>19294.02</v>
      </c>
      <c r="C23" s="79"/>
      <c r="D23" s="79"/>
      <c r="E23" s="79">
        <v>19873.09</v>
      </c>
      <c r="F23" s="79">
        <v>18240.150000000001</v>
      </c>
      <c r="G23" s="79">
        <v>21625.48</v>
      </c>
      <c r="H23" s="79">
        <v>14869.96</v>
      </c>
      <c r="I23" s="79">
        <v>18962.27</v>
      </c>
      <c r="J23" s="79">
        <v>19754.810000000001</v>
      </c>
      <c r="K23" s="79">
        <v>21673.91</v>
      </c>
      <c r="L23" s="79">
        <v>14869.96</v>
      </c>
      <c r="M23" s="79">
        <v>13345.31</v>
      </c>
      <c r="N23" s="79">
        <v>21719.95</v>
      </c>
      <c r="O23" s="79">
        <v>23701.18</v>
      </c>
      <c r="P23" s="79">
        <v>21074</v>
      </c>
      <c r="Q23" s="79"/>
      <c r="R23" s="79"/>
      <c r="S23" s="79"/>
      <c r="T23" s="79"/>
      <c r="U23" s="79"/>
      <c r="V23" s="80"/>
    </row>
    <row r="24" spans="1:22">
      <c r="A24" s="84" t="s">
        <v>340</v>
      </c>
      <c r="B24" s="76">
        <v>105040.97</v>
      </c>
      <c r="C24" s="76"/>
      <c r="D24" s="76"/>
      <c r="E24" s="76">
        <v>19214.43</v>
      </c>
      <c r="F24" s="76">
        <v>22680</v>
      </c>
      <c r="G24" s="76">
        <v>84008.65</v>
      </c>
      <c r="H24" s="76">
        <v>9966.48</v>
      </c>
      <c r="I24" s="76">
        <v>24250.71</v>
      </c>
      <c r="J24" s="76">
        <v>23251.07</v>
      </c>
      <c r="K24" s="76">
        <v>22484.18</v>
      </c>
      <c r="L24" s="76">
        <v>89874.66</v>
      </c>
      <c r="M24" s="76">
        <v>15454.11</v>
      </c>
      <c r="N24" s="76">
        <v>24751.14</v>
      </c>
      <c r="O24" s="76">
        <v>21794.02</v>
      </c>
      <c r="P24" s="76">
        <v>22142.46</v>
      </c>
      <c r="Q24" s="76"/>
      <c r="R24" s="76"/>
      <c r="S24" s="76"/>
      <c r="T24" s="76"/>
      <c r="U24" s="76"/>
      <c r="V24" s="81"/>
    </row>
    <row r="25" spans="1:22">
      <c r="A25" s="85" t="s">
        <v>341</v>
      </c>
      <c r="B25" s="79">
        <v>-100.42</v>
      </c>
      <c r="C25" s="79"/>
      <c r="D25" s="79"/>
      <c r="E25" s="79">
        <v>-131.56</v>
      </c>
      <c r="F25" s="79">
        <v>0</v>
      </c>
      <c r="G25" s="79">
        <v>-171.69</v>
      </c>
      <c r="H25" s="79">
        <v>0</v>
      </c>
      <c r="I25" s="79">
        <v>0</v>
      </c>
      <c r="J25" s="79">
        <v>-45.13</v>
      </c>
      <c r="K25" s="79">
        <v>0</v>
      </c>
      <c r="L25" s="79">
        <v>-45.13</v>
      </c>
      <c r="M25" s="79">
        <v>0</v>
      </c>
      <c r="N25" s="79">
        <v>-200.43</v>
      </c>
      <c r="O25" s="79">
        <v>0</v>
      </c>
      <c r="P25" s="79">
        <v>0</v>
      </c>
      <c r="Q25" s="79"/>
      <c r="R25" s="79"/>
      <c r="S25" s="79"/>
      <c r="T25" s="79"/>
      <c r="U25" s="79"/>
      <c r="V25" s="80"/>
    </row>
    <row r="26" spans="1:22">
      <c r="A26" s="84" t="s">
        <v>342</v>
      </c>
      <c r="B26" s="76">
        <v>60.89</v>
      </c>
      <c r="C26" s="76"/>
      <c r="D26" s="76"/>
      <c r="E26" s="76">
        <v>-41.68</v>
      </c>
      <c r="F26" s="76">
        <v>-50.98</v>
      </c>
      <c r="G26" s="76">
        <v>-150.77000000000001</v>
      </c>
      <c r="H26" s="76">
        <v>-64.73</v>
      </c>
      <c r="I26" s="76">
        <v>-1111.08</v>
      </c>
      <c r="J26" s="76">
        <v>7.38</v>
      </c>
      <c r="K26" s="76">
        <v>-34.799999999999997</v>
      </c>
      <c r="L26" s="76">
        <v>-1185.51</v>
      </c>
      <c r="M26" s="76">
        <v>-41.74</v>
      </c>
      <c r="N26" s="76">
        <v>-886.16</v>
      </c>
      <c r="O26" s="76">
        <v>-1235.55</v>
      </c>
      <c r="P26" s="76">
        <v>-496.59</v>
      </c>
      <c r="Q26" s="76"/>
      <c r="R26" s="76"/>
      <c r="S26" s="76"/>
      <c r="T26" s="76"/>
      <c r="U26" s="76"/>
      <c r="V26" s="81"/>
    </row>
    <row r="27" spans="1:22">
      <c r="A27" s="85" t="s">
        <v>343</v>
      </c>
      <c r="B27" s="79">
        <v>2745.11</v>
      </c>
      <c r="C27" s="79"/>
      <c r="D27" s="79"/>
      <c r="E27" s="79">
        <v>792.74</v>
      </c>
      <c r="F27" s="79">
        <v>661.02</v>
      </c>
      <c r="G27" s="79">
        <v>3092.01</v>
      </c>
      <c r="H27" s="79">
        <v>307.93</v>
      </c>
      <c r="I27" s="79">
        <v>914.81</v>
      </c>
      <c r="J27" s="79">
        <v>775.46</v>
      </c>
      <c r="K27" s="79">
        <v>755.5</v>
      </c>
      <c r="L27" s="79">
        <v>2794.97</v>
      </c>
      <c r="M27" s="79">
        <v>286.83999999999997</v>
      </c>
      <c r="N27" s="79">
        <v>733.49</v>
      </c>
      <c r="O27" s="79">
        <v>532.58000000000004</v>
      </c>
      <c r="P27" s="79">
        <v>473.83</v>
      </c>
      <c r="Q27" s="79"/>
      <c r="R27" s="79"/>
      <c r="S27" s="79"/>
      <c r="T27" s="79"/>
      <c r="U27" s="79"/>
      <c r="V27" s="80"/>
    </row>
    <row r="28" spans="1:22">
      <c r="A28" s="84" t="s">
        <v>344</v>
      </c>
      <c r="B28" s="76">
        <v>21625.48</v>
      </c>
      <c r="C28" s="76"/>
      <c r="D28" s="76"/>
      <c r="E28" s="76">
        <v>14276.52</v>
      </c>
      <c r="F28" s="76">
        <v>20840.09</v>
      </c>
      <c r="G28" s="76">
        <v>14869.96</v>
      </c>
      <c r="H28" s="76">
        <v>15788.86</v>
      </c>
      <c r="I28" s="76">
        <v>16491.25</v>
      </c>
      <c r="J28" s="76">
        <v>19019.89</v>
      </c>
      <c r="K28" s="76">
        <v>18257.72</v>
      </c>
      <c r="L28" s="76">
        <v>13345.31</v>
      </c>
      <c r="M28" s="76">
        <v>19599.13</v>
      </c>
      <c r="N28" s="76">
        <v>19120.43</v>
      </c>
      <c r="O28" s="76">
        <v>17510.47</v>
      </c>
      <c r="P28" s="76">
        <v>16193.05</v>
      </c>
      <c r="Q28" s="76"/>
      <c r="R28" s="76"/>
      <c r="S28" s="76"/>
      <c r="T28" s="76"/>
      <c r="U28" s="76"/>
      <c r="V28" s="81"/>
    </row>
    <row r="29" spans="1:22">
      <c r="A29" s="85" t="s">
        <v>345</v>
      </c>
      <c r="B29" s="79">
        <v>99924.86</v>
      </c>
      <c r="C29" s="79"/>
      <c r="D29" s="79"/>
      <c r="E29" s="79">
        <v>23845.02</v>
      </c>
      <c r="F29" s="79">
        <v>19368.07</v>
      </c>
      <c r="G29" s="79">
        <v>87349.69</v>
      </c>
      <c r="H29" s="79">
        <v>8674.92</v>
      </c>
      <c r="I29" s="79">
        <v>24695.85</v>
      </c>
      <c r="J29" s="79">
        <v>23172.77</v>
      </c>
      <c r="K29" s="79">
        <v>25110.07</v>
      </c>
      <c r="L29" s="79">
        <v>87373.72</v>
      </c>
      <c r="M29" s="79">
        <v>8871.7199999999993</v>
      </c>
      <c r="N29" s="79">
        <v>25530.59</v>
      </c>
      <c r="O29" s="79">
        <v>26216.59</v>
      </c>
      <c r="P29" s="79">
        <v>26053</v>
      </c>
      <c r="Q29" s="79"/>
      <c r="R29" s="79"/>
      <c r="S29" s="79"/>
      <c r="T29" s="79"/>
      <c r="U29" s="79"/>
      <c r="V29" s="80"/>
    </row>
    <row r="30" spans="1:22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81"/>
    </row>
    <row r="31" spans="1:22">
      <c r="A31" s="85" t="s">
        <v>339</v>
      </c>
      <c r="B31" s="79">
        <v>7037.65</v>
      </c>
      <c r="C31" s="79"/>
      <c r="D31" s="79"/>
      <c r="E31" s="79">
        <v>5995.84</v>
      </c>
      <c r="F31" s="79">
        <v>5799.07</v>
      </c>
      <c r="G31" s="79">
        <v>6211.72</v>
      </c>
      <c r="H31" s="79">
        <v>5353.25</v>
      </c>
      <c r="I31" s="79">
        <v>5778.77</v>
      </c>
      <c r="J31" s="79">
        <v>6095.33</v>
      </c>
      <c r="K31" s="79">
        <v>6701.62</v>
      </c>
      <c r="L31" s="79">
        <v>20223.21</v>
      </c>
      <c r="M31" s="79">
        <v>5175.66</v>
      </c>
      <c r="N31" s="79">
        <v>6503.15</v>
      </c>
      <c r="O31" s="79">
        <v>6594.51</v>
      </c>
      <c r="P31" s="79">
        <v>6641.09</v>
      </c>
      <c r="Q31" s="79"/>
      <c r="R31" s="79"/>
      <c r="S31" s="79"/>
      <c r="T31" s="79"/>
      <c r="U31" s="79"/>
      <c r="V31" s="80"/>
    </row>
    <row r="32" spans="1:22">
      <c r="A32" s="84" t="s">
        <v>340</v>
      </c>
      <c r="B32" s="76">
        <v>13102.98</v>
      </c>
      <c r="C32" s="76"/>
      <c r="D32" s="76"/>
      <c r="E32" s="76">
        <v>2562.1799999999998</v>
      </c>
      <c r="F32" s="76">
        <v>2588.27</v>
      </c>
      <c r="G32" s="76">
        <v>10387.209999999999</v>
      </c>
      <c r="H32" s="76">
        <v>1111.8699999999999</v>
      </c>
      <c r="I32" s="76">
        <v>3373.19</v>
      </c>
      <c r="J32" s="76">
        <v>3219.21</v>
      </c>
      <c r="K32" s="76">
        <v>2676.18</v>
      </c>
      <c r="L32" s="76">
        <v>101436.04</v>
      </c>
      <c r="M32" s="76">
        <v>2049.1</v>
      </c>
      <c r="N32" s="76">
        <v>2779.92</v>
      </c>
      <c r="O32" s="76">
        <v>3148.53</v>
      </c>
      <c r="P32" s="76">
        <v>2495.7600000000002</v>
      </c>
      <c r="Q32" s="76"/>
      <c r="R32" s="76"/>
      <c r="S32" s="76"/>
      <c r="T32" s="76"/>
      <c r="U32" s="76"/>
      <c r="V32" s="81"/>
    </row>
    <row r="33" spans="1:27">
      <c r="A33" s="85" t="s">
        <v>341</v>
      </c>
      <c r="B33" s="79">
        <v>0</v>
      </c>
      <c r="C33" s="79"/>
      <c r="D33" s="79"/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-45.13</v>
      </c>
      <c r="M33" s="79">
        <v>0</v>
      </c>
      <c r="N33" s="79">
        <v>0</v>
      </c>
      <c r="O33" s="79">
        <v>0</v>
      </c>
      <c r="P33" s="79">
        <v>0</v>
      </c>
      <c r="Q33" s="79"/>
      <c r="R33" s="79"/>
      <c r="S33" s="79"/>
      <c r="T33" s="79"/>
      <c r="U33" s="79"/>
      <c r="V33" s="80"/>
    </row>
    <row r="34" spans="1:27">
      <c r="A34" s="84" t="s">
        <v>342</v>
      </c>
      <c r="B34" s="76">
        <v>23.53</v>
      </c>
      <c r="C34" s="76"/>
      <c r="D34" s="76"/>
      <c r="E34" s="76">
        <v>0</v>
      </c>
      <c r="F34" s="76">
        <v>0</v>
      </c>
      <c r="G34" s="76">
        <v>35.58</v>
      </c>
      <c r="H34" s="76">
        <v>0</v>
      </c>
      <c r="I34" s="76">
        <v>-38.67</v>
      </c>
      <c r="J34" s="76">
        <v>0</v>
      </c>
      <c r="K34" s="76">
        <v>-5.64</v>
      </c>
      <c r="L34" s="76">
        <v>-1238.47</v>
      </c>
      <c r="M34" s="76">
        <v>-7.95</v>
      </c>
      <c r="N34" s="76">
        <v>-12.17</v>
      </c>
      <c r="O34" s="76">
        <v>-25.79</v>
      </c>
      <c r="P34" s="76">
        <v>-19.52</v>
      </c>
      <c r="Q34" s="76"/>
      <c r="R34" s="76"/>
      <c r="S34" s="76"/>
      <c r="T34" s="76"/>
      <c r="U34" s="76"/>
      <c r="V34" s="81"/>
    </row>
    <row r="35" spans="1:27">
      <c r="A35" s="85" t="s">
        <v>343</v>
      </c>
      <c r="B35" s="79">
        <v>208.76</v>
      </c>
      <c r="C35" s="79"/>
      <c r="D35" s="79"/>
      <c r="E35" s="79">
        <v>55.24</v>
      </c>
      <c r="F35" s="79">
        <v>46.1</v>
      </c>
      <c r="G35" s="79">
        <v>216.28</v>
      </c>
      <c r="H35" s="79">
        <v>21.94</v>
      </c>
      <c r="I35" s="79">
        <v>63.79</v>
      </c>
      <c r="J35" s="79">
        <v>52.49</v>
      </c>
      <c r="K35" s="79">
        <v>51.93</v>
      </c>
      <c r="L35" s="79">
        <v>2988.6899999999901</v>
      </c>
      <c r="M35" s="79">
        <v>19.43</v>
      </c>
      <c r="N35" s="79">
        <v>50.48</v>
      </c>
      <c r="O35" s="79">
        <v>40.770000000000003</v>
      </c>
      <c r="P35" s="79">
        <v>36.340000000000003</v>
      </c>
      <c r="Q35" s="79"/>
      <c r="R35" s="79"/>
      <c r="S35" s="79"/>
      <c r="T35" s="79"/>
      <c r="U35" s="79"/>
      <c r="V35" s="80"/>
    </row>
    <row r="36" spans="1:27">
      <c r="A36" s="84" t="s">
        <v>344</v>
      </c>
      <c r="B36" s="76">
        <v>6211.72</v>
      </c>
      <c r="C36" s="76"/>
      <c r="D36" s="76"/>
      <c r="E36" s="76">
        <v>5211.25</v>
      </c>
      <c r="F36" s="76">
        <v>5799.21</v>
      </c>
      <c r="G36" s="76">
        <v>5353.25</v>
      </c>
      <c r="H36" s="76">
        <v>5418.16</v>
      </c>
      <c r="I36" s="76">
        <v>5568.76</v>
      </c>
      <c r="J36" s="76">
        <v>6380.44</v>
      </c>
      <c r="K36" s="76">
        <v>6143.99</v>
      </c>
      <c r="L36" s="76">
        <v>18520.97</v>
      </c>
      <c r="M36" s="76">
        <v>6150.34</v>
      </c>
      <c r="N36" s="76">
        <v>5680.07</v>
      </c>
      <c r="O36" s="76">
        <v>6003.74</v>
      </c>
      <c r="P36" s="76">
        <v>5939.31</v>
      </c>
      <c r="Q36" s="76"/>
      <c r="R36" s="76"/>
      <c r="S36" s="76"/>
      <c r="T36" s="76"/>
      <c r="U36" s="76"/>
      <c r="V36" s="81"/>
    </row>
    <row r="37" spans="1:27">
      <c r="A37" s="85" t="s">
        <v>345</v>
      </c>
      <c r="B37" s="82">
        <v>13743.68</v>
      </c>
      <c r="C37" s="82"/>
      <c r="D37" s="82"/>
      <c r="E37" s="82">
        <v>3291.54</v>
      </c>
      <c r="F37" s="82">
        <v>2542.0300000000002</v>
      </c>
      <c r="G37" s="82">
        <v>11064.99</v>
      </c>
      <c r="H37" s="82">
        <v>1025.02</v>
      </c>
      <c r="I37" s="82">
        <v>3480.74</v>
      </c>
      <c r="J37" s="82">
        <v>2881.61</v>
      </c>
      <c r="K37" s="82">
        <v>3176.24</v>
      </c>
      <c r="L37" s="82">
        <v>98866</v>
      </c>
      <c r="M37" s="82">
        <v>1047.04</v>
      </c>
      <c r="N37" s="82">
        <v>3540.35</v>
      </c>
      <c r="O37" s="82">
        <v>3672.73</v>
      </c>
      <c r="P37" s="82">
        <v>3141.67</v>
      </c>
      <c r="Q37" s="82"/>
      <c r="R37" s="82"/>
      <c r="S37" s="82"/>
      <c r="T37" s="82"/>
      <c r="U37" s="82"/>
      <c r="V37" s="83"/>
    </row>
    <row r="40" spans="1:27">
      <c r="A40" t="s">
        <v>17</v>
      </c>
    </row>
    <row r="41" spans="1:27">
      <c r="A41" s="2">
        <v>46123</v>
      </c>
      <c r="B41" s="142"/>
      <c r="C41" s="143"/>
      <c r="D41" s="143"/>
      <c r="E41" s="143"/>
      <c r="F41" s="143"/>
      <c r="G41" s="143"/>
      <c r="H41" s="143"/>
      <c r="I41" s="143"/>
      <c r="J41" s="143"/>
      <c r="K41" s="143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1"/>
      <c r="Y41" s="94"/>
      <c r="Z41" s="94"/>
      <c r="AA41" s="94"/>
    </row>
    <row r="42" spans="1:27">
      <c r="B42" s="142"/>
      <c r="C42" s="143"/>
      <c r="D42" s="143"/>
      <c r="E42" s="143"/>
      <c r="F42" s="143"/>
      <c r="G42" s="143"/>
      <c r="H42" s="143"/>
      <c r="I42" s="143"/>
      <c r="J42" s="143"/>
      <c r="K42" s="143"/>
      <c r="L42" s="96"/>
      <c r="M42" s="96"/>
      <c r="N42" s="96"/>
      <c r="O42" s="96"/>
      <c r="P42" s="96"/>
      <c r="Q42" s="96"/>
      <c r="R42" s="96"/>
      <c r="S42" s="96"/>
      <c r="T42" s="96"/>
      <c r="U42" s="97"/>
      <c r="V42" s="98"/>
      <c r="W42" s="92"/>
      <c r="Y42" s="94"/>
      <c r="Z42" s="94"/>
      <c r="AA42" s="94"/>
    </row>
    <row r="43" spans="1:27">
      <c r="B43" s="142"/>
      <c r="C43" s="143"/>
      <c r="D43" s="143"/>
      <c r="E43" s="143"/>
      <c r="F43" s="143"/>
      <c r="G43" s="143"/>
      <c r="H43" s="143"/>
      <c r="I43" s="143"/>
      <c r="J43" s="143"/>
      <c r="K43" s="143"/>
      <c r="L43" s="96"/>
      <c r="M43" s="96"/>
      <c r="N43" s="96"/>
      <c r="O43" s="96"/>
      <c r="P43" s="96"/>
      <c r="Q43" s="96"/>
      <c r="R43" s="96"/>
      <c r="S43" s="96"/>
      <c r="T43" s="96"/>
      <c r="U43" s="97"/>
      <c r="V43" s="98"/>
      <c r="W43" s="92"/>
      <c r="Y43" s="94"/>
      <c r="Z43" s="94"/>
      <c r="AA43" s="94"/>
    </row>
    <row r="44" spans="1:27"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96"/>
      <c r="M44" s="96"/>
      <c r="N44" s="96"/>
      <c r="O44" s="96"/>
      <c r="P44" s="96"/>
      <c r="Q44" s="96"/>
      <c r="R44" s="96"/>
      <c r="S44" s="96"/>
      <c r="T44" s="96"/>
      <c r="U44" s="97"/>
      <c r="V44" s="98"/>
      <c r="W44" s="92"/>
      <c r="Y44" s="94"/>
      <c r="Z44" s="94"/>
      <c r="AA44" s="94"/>
    </row>
    <row r="45" spans="1:27">
      <c r="B45" s="142"/>
      <c r="C45" s="143"/>
      <c r="D45" s="143"/>
      <c r="E45" s="143"/>
      <c r="F45" s="143"/>
      <c r="G45" s="143"/>
      <c r="H45" s="143"/>
      <c r="I45" s="143"/>
      <c r="J45" s="143"/>
      <c r="K45" s="143"/>
      <c r="L45" s="96"/>
      <c r="M45" s="96"/>
      <c r="N45" s="96"/>
      <c r="O45" s="96"/>
      <c r="P45" s="96"/>
      <c r="Q45" s="96"/>
      <c r="R45" s="96"/>
      <c r="S45" s="96"/>
      <c r="T45" s="96"/>
      <c r="U45" s="97"/>
      <c r="V45" s="98"/>
      <c r="W45" s="92"/>
      <c r="Y45" s="94"/>
      <c r="Z45" s="94"/>
      <c r="AA45" s="94"/>
    </row>
    <row r="46" spans="1:27">
      <c r="B46" s="142"/>
      <c r="C46" s="143"/>
      <c r="D46" s="143"/>
      <c r="E46" s="143"/>
      <c r="F46" s="143"/>
      <c r="G46" s="143"/>
      <c r="H46" s="143"/>
      <c r="I46" s="143"/>
      <c r="J46" s="143"/>
      <c r="K46" s="143"/>
      <c r="L46" s="96"/>
      <c r="M46" s="96"/>
      <c r="N46" s="96"/>
      <c r="O46" s="99"/>
      <c r="P46" s="96"/>
      <c r="Q46" s="96"/>
      <c r="R46" s="96"/>
      <c r="S46" s="96"/>
      <c r="T46" s="96"/>
      <c r="U46" s="97"/>
      <c r="V46" s="98"/>
      <c r="W46" s="92"/>
      <c r="Y46" s="94"/>
      <c r="Z46" s="94"/>
      <c r="AA46" s="94"/>
    </row>
    <row r="47" spans="1:27">
      <c r="B47" s="142"/>
      <c r="C47" s="143"/>
      <c r="D47" s="143"/>
      <c r="E47" s="143"/>
      <c r="F47" s="143"/>
      <c r="G47" s="143"/>
      <c r="H47" s="143"/>
      <c r="I47" s="143"/>
      <c r="J47" s="143"/>
      <c r="K47" s="143"/>
      <c r="L47" s="96"/>
      <c r="M47" s="96"/>
      <c r="N47" s="96"/>
      <c r="O47" s="96"/>
      <c r="P47" s="96"/>
      <c r="Q47" s="96"/>
      <c r="R47" s="96"/>
      <c r="S47" s="96"/>
      <c r="T47" s="96"/>
      <c r="U47" s="97"/>
      <c r="V47" s="98"/>
      <c r="W47" s="92"/>
    </row>
    <row r="48" spans="1:27">
      <c r="B48" s="142"/>
      <c r="C48" s="143"/>
      <c r="D48" s="143"/>
      <c r="E48" s="143"/>
      <c r="F48" s="143"/>
      <c r="G48" s="143"/>
      <c r="H48" s="143"/>
      <c r="I48" s="143"/>
      <c r="J48" s="143"/>
      <c r="K48" s="143"/>
      <c r="L48" s="96"/>
      <c r="M48" s="96"/>
      <c r="N48" s="96"/>
      <c r="O48" s="96"/>
      <c r="P48" s="96"/>
      <c r="Q48" s="96"/>
      <c r="R48" s="96"/>
      <c r="S48" s="96"/>
      <c r="T48" s="96"/>
      <c r="U48" s="97"/>
      <c r="V48" s="98"/>
      <c r="W48" s="92"/>
      <c r="Y48" s="94"/>
      <c r="Z48" s="94"/>
      <c r="AA48" s="94"/>
    </row>
    <row r="49" spans="2:27">
      <c r="B49" s="142"/>
      <c r="C49" s="143"/>
      <c r="D49" s="143"/>
      <c r="E49" s="143"/>
      <c r="F49" s="143"/>
      <c r="G49" s="143"/>
      <c r="H49" s="143"/>
      <c r="I49" s="143"/>
      <c r="J49" s="143"/>
      <c r="K49" s="143"/>
      <c r="L49" s="96"/>
      <c r="M49" s="96"/>
      <c r="N49" s="96"/>
      <c r="O49" s="96"/>
      <c r="P49" s="96"/>
      <c r="Q49" s="96"/>
      <c r="R49" s="96"/>
      <c r="S49" s="96"/>
      <c r="T49" s="96"/>
      <c r="U49" s="97"/>
      <c r="V49" s="98"/>
      <c r="W49" s="92"/>
      <c r="Y49" s="94"/>
      <c r="Z49" s="94"/>
      <c r="AA49" s="94"/>
    </row>
    <row r="50" spans="2:27">
      <c r="B50" s="142"/>
      <c r="C50" s="143"/>
      <c r="D50" s="143"/>
      <c r="E50" s="143"/>
      <c r="F50" s="143"/>
      <c r="G50" s="143"/>
      <c r="H50" s="143"/>
      <c r="I50" s="143"/>
      <c r="J50" s="143"/>
      <c r="K50" s="143"/>
      <c r="L50" s="96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Y50" s="94"/>
      <c r="Z50" s="94"/>
      <c r="AA50" s="94"/>
    </row>
    <row r="51" spans="2:27">
      <c r="B51" s="142"/>
      <c r="C51" s="143"/>
      <c r="D51" s="143"/>
      <c r="E51" s="143"/>
      <c r="F51" s="143"/>
      <c r="G51" s="143"/>
      <c r="H51" s="143"/>
      <c r="I51" s="143"/>
      <c r="J51" s="143"/>
      <c r="K51" s="143"/>
      <c r="Y51" s="94"/>
      <c r="Z51" s="94"/>
      <c r="AA51" s="94"/>
    </row>
    <row r="52" spans="2:27">
      <c r="B52" s="142"/>
      <c r="C52" s="143"/>
      <c r="D52" s="143"/>
      <c r="E52" s="143"/>
      <c r="F52" s="143"/>
      <c r="G52" s="143"/>
      <c r="H52" s="143"/>
      <c r="I52" s="143"/>
      <c r="J52" s="143"/>
      <c r="K52" s="143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1"/>
      <c r="Y52" s="94"/>
      <c r="Z52" s="94"/>
      <c r="AA52" s="94"/>
    </row>
    <row r="53" spans="2:27">
      <c r="B53" s="142"/>
      <c r="C53" s="143"/>
      <c r="D53" s="143"/>
      <c r="E53" s="143"/>
      <c r="F53" s="143"/>
      <c r="G53" s="143"/>
      <c r="H53" s="143"/>
      <c r="I53" s="143"/>
      <c r="J53" s="143"/>
      <c r="K53" s="143"/>
      <c r="L53" s="96"/>
      <c r="M53" s="96"/>
      <c r="N53" s="96"/>
      <c r="O53" s="99"/>
      <c r="P53" s="99"/>
      <c r="Q53" s="96"/>
      <c r="R53" s="96"/>
      <c r="S53" s="96"/>
      <c r="T53" s="96"/>
      <c r="U53" s="97"/>
      <c r="V53" s="98"/>
      <c r="W53" s="92"/>
      <c r="Y53" s="94"/>
      <c r="Z53" s="94"/>
      <c r="AA53" s="94"/>
    </row>
    <row r="54" spans="2:27">
      <c r="B54" s="142"/>
      <c r="C54" s="143"/>
      <c r="D54" s="143"/>
      <c r="E54" s="143"/>
      <c r="F54" s="143"/>
      <c r="G54" s="143"/>
      <c r="H54" s="143"/>
      <c r="I54" s="143"/>
      <c r="J54" s="143"/>
      <c r="K54" s="143"/>
      <c r="L54" s="96"/>
      <c r="M54" s="96"/>
      <c r="N54" s="96"/>
      <c r="O54" s="96"/>
      <c r="P54" s="96"/>
      <c r="Q54" s="96"/>
      <c r="R54" s="96"/>
      <c r="S54" s="96"/>
      <c r="T54" s="96"/>
      <c r="U54" s="97"/>
      <c r="V54" s="98"/>
      <c r="W54" s="92"/>
    </row>
    <row r="55" spans="2:27"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96"/>
      <c r="M55" s="96"/>
      <c r="N55" s="96"/>
      <c r="O55" s="96"/>
      <c r="P55" s="96"/>
      <c r="Q55" s="96"/>
      <c r="R55" s="96"/>
      <c r="S55" s="96"/>
      <c r="T55" s="96"/>
      <c r="U55" s="97"/>
      <c r="V55" s="98"/>
      <c r="W55" s="92"/>
      <c r="Y55" s="94"/>
      <c r="Z55" s="94"/>
      <c r="AA55" s="94"/>
    </row>
    <row r="56" spans="2:27">
      <c r="B56" s="142"/>
      <c r="C56" s="143"/>
      <c r="D56" s="143"/>
      <c r="E56" s="143"/>
      <c r="F56" s="143"/>
      <c r="G56" s="143"/>
      <c r="H56" s="143"/>
      <c r="I56" s="143"/>
      <c r="J56" s="143"/>
      <c r="K56" s="143"/>
      <c r="L56" s="96"/>
      <c r="M56" s="96"/>
      <c r="N56" s="96"/>
      <c r="O56" s="96"/>
      <c r="P56" s="96"/>
      <c r="Q56" s="96"/>
      <c r="R56" s="96"/>
      <c r="S56" s="96"/>
      <c r="T56" s="96"/>
      <c r="U56" s="97"/>
      <c r="V56" s="98"/>
      <c r="W56" s="92"/>
      <c r="Y56" s="94"/>
      <c r="Z56" s="94"/>
      <c r="AA56" s="94"/>
    </row>
    <row r="57" spans="2:27"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96"/>
      <c r="M57" s="96"/>
      <c r="N57" s="96"/>
      <c r="O57" s="96"/>
      <c r="P57" s="96"/>
      <c r="Q57" s="96"/>
      <c r="R57" s="96"/>
      <c r="S57" s="96"/>
      <c r="T57" s="96"/>
      <c r="U57" s="97"/>
      <c r="V57" s="98"/>
      <c r="W57" s="92"/>
      <c r="Y57" s="94"/>
      <c r="Z57" s="94"/>
      <c r="AA57" s="94"/>
    </row>
    <row r="58" spans="2:27">
      <c r="B58" s="142"/>
      <c r="C58" s="143"/>
      <c r="D58" s="143"/>
      <c r="E58" s="143"/>
      <c r="F58" s="143"/>
      <c r="G58" s="143"/>
      <c r="H58" s="143"/>
      <c r="I58" s="143"/>
      <c r="J58" s="143"/>
      <c r="K58" s="143"/>
      <c r="L58" s="96"/>
      <c r="M58" s="96"/>
      <c r="N58" s="96"/>
      <c r="O58" s="96"/>
      <c r="P58" s="96"/>
      <c r="Q58" s="96"/>
      <c r="R58" s="96"/>
      <c r="S58" s="96"/>
      <c r="T58" s="96"/>
      <c r="U58" s="97"/>
      <c r="V58" s="98"/>
      <c r="W58" s="92"/>
      <c r="Y58" s="94"/>
      <c r="Z58" s="94"/>
      <c r="AA58" s="94"/>
    </row>
    <row r="59" spans="2:27">
      <c r="B59" s="142"/>
      <c r="C59" s="143"/>
      <c r="D59" s="143"/>
      <c r="E59" s="143"/>
      <c r="F59" s="143"/>
      <c r="G59" s="143"/>
      <c r="H59" s="143"/>
      <c r="I59" s="143"/>
      <c r="J59" s="143"/>
      <c r="K59" s="143"/>
      <c r="L59" s="96"/>
      <c r="M59" s="96"/>
      <c r="N59" s="96"/>
      <c r="O59" s="96"/>
      <c r="P59" s="96"/>
      <c r="Q59" s="96"/>
      <c r="R59" s="96"/>
      <c r="S59" s="96"/>
      <c r="T59" s="96"/>
      <c r="U59" s="97"/>
      <c r="V59" s="98"/>
      <c r="W59" s="92"/>
      <c r="Y59" s="94"/>
      <c r="Z59" s="94"/>
      <c r="AA59" s="94"/>
    </row>
    <row r="60" spans="2:27">
      <c r="B60" s="142"/>
      <c r="C60" s="143"/>
      <c r="D60" s="143"/>
      <c r="E60" s="143"/>
      <c r="F60" s="143"/>
      <c r="G60" s="143"/>
      <c r="H60" s="143"/>
      <c r="I60" s="143"/>
      <c r="J60" s="143"/>
      <c r="K60" s="143"/>
      <c r="L60" s="96"/>
      <c r="M60" s="96"/>
      <c r="N60" s="96"/>
      <c r="O60" s="96"/>
      <c r="P60" s="96"/>
      <c r="Q60" s="96"/>
      <c r="R60" s="96"/>
      <c r="S60" s="96"/>
      <c r="T60" s="96"/>
      <c r="U60" s="97"/>
      <c r="V60" s="98"/>
      <c r="W60" s="92"/>
      <c r="Y60" s="94"/>
      <c r="Z60" s="94"/>
      <c r="AA60" s="94"/>
    </row>
    <row r="61" spans="2:27">
      <c r="B61" s="142"/>
      <c r="C61" s="143"/>
      <c r="D61" s="143"/>
      <c r="E61" s="143"/>
      <c r="F61" s="143"/>
      <c r="G61" s="143"/>
      <c r="H61" s="143"/>
      <c r="I61" s="143"/>
      <c r="J61" s="143"/>
      <c r="K61" s="143"/>
      <c r="L61" s="96"/>
      <c r="M61" s="96"/>
      <c r="N61" s="96"/>
      <c r="O61" s="96"/>
      <c r="P61" s="96"/>
      <c r="Q61" s="96"/>
      <c r="R61" s="96"/>
      <c r="S61" s="96"/>
      <c r="T61" s="96"/>
      <c r="U61" s="97"/>
      <c r="V61" s="98"/>
      <c r="W61" s="92"/>
    </row>
    <row r="62" spans="2:27">
      <c r="B62" s="142"/>
      <c r="C62" s="143"/>
      <c r="D62" s="143"/>
      <c r="E62" s="143"/>
      <c r="F62" s="143"/>
      <c r="G62" s="143"/>
      <c r="H62" s="143"/>
      <c r="I62" s="143"/>
      <c r="J62" s="143"/>
      <c r="K62" s="143"/>
      <c r="L62" s="96"/>
      <c r="M62" s="96"/>
      <c r="N62" s="96"/>
      <c r="O62" s="96"/>
      <c r="P62" s="96"/>
      <c r="Q62" s="96"/>
      <c r="R62" s="96"/>
      <c r="S62" s="96"/>
      <c r="T62" s="96"/>
      <c r="U62" s="97"/>
      <c r="V62" s="98"/>
      <c r="W62" s="92"/>
      <c r="Y62" s="94"/>
      <c r="Z62" s="94"/>
      <c r="AA62" s="94"/>
    </row>
    <row r="63" spans="2:27">
      <c r="B63" s="142"/>
      <c r="C63" s="143"/>
      <c r="D63" s="143"/>
      <c r="E63" s="143"/>
      <c r="F63" s="143"/>
      <c r="G63" s="143"/>
      <c r="H63" s="143"/>
      <c r="I63" s="143"/>
      <c r="J63" s="143"/>
      <c r="K63" s="143"/>
      <c r="L63" s="96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Y63" s="94"/>
      <c r="Z63" s="94"/>
      <c r="AA63" s="94"/>
    </row>
    <row r="64" spans="2:27">
      <c r="B64" s="142"/>
      <c r="C64" s="143"/>
      <c r="D64" s="143"/>
      <c r="E64" s="143"/>
      <c r="F64" s="143"/>
      <c r="G64" s="143"/>
      <c r="H64" s="143"/>
      <c r="I64" s="143"/>
      <c r="J64" s="143"/>
      <c r="K64" s="143"/>
      <c r="Y64" s="94"/>
      <c r="Z64" s="94"/>
      <c r="AA64" s="94"/>
    </row>
    <row r="65" spans="2:27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1" t="s">
        <v>347</v>
      </c>
      <c r="Y65" s="94"/>
      <c r="Z65" s="94"/>
      <c r="AA65" s="94"/>
    </row>
    <row r="66" spans="2:27">
      <c r="B66" s="142"/>
      <c r="C66" s="143"/>
      <c r="D66" s="143"/>
      <c r="E66" s="143"/>
      <c r="F66" s="143"/>
      <c r="G66" s="143"/>
      <c r="H66" s="143"/>
      <c r="I66" s="143"/>
      <c r="J66" s="143"/>
      <c r="K66" s="143"/>
      <c r="L66" s="96"/>
      <c r="M66" s="96"/>
      <c r="N66" s="96"/>
      <c r="O66" s="96"/>
      <c r="P66" s="96"/>
      <c r="Q66" s="96"/>
      <c r="R66" s="96"/>
      <c r="S66" s="96"/>
      <c r="T66" s="96"/>
      <c r="U66" s="97"/>
      <c r="V66" s="98"/>
      <c r="W66" s="92"/>
      <c r="Y66" s="94"/>
      <c r="Z66" s="94"/>
      <c r="AA66" s="94"/>
    </row>
    <row r="67" spans="2:27">
      <c r="B67" s="142"/>
      <c r="C67" s="143"/>
      <c r="D67" s="143"/>
      <c r="E67" s="143"/>
      <c r="F67" s="143"/>
      <c r="G67" s="143"/>
      <c r="H67" s="143"/>
      <c r="I67" s="143"/>
      <c r="J67" s="143"/>
      <c r="K67" s="143"/>
      <c r="L67" s="96"/>
      <c r="M67" s="96"/>
      <c r="N67" s="96"/>
      <c r="O67" s="96"/>
      <c r="P67" s="96"/>
      <c r="Q67" s="96"/>
      <c r="R67" s="96"/>
      <c r="S67" s="96"/>
      <c r="T67" s="96"/>
      <c r="U67" s="97"/>
      <c r="V67" s="98"/>
      <c r="W67" s="92"/>
      <c r="Y67" s="94"/>
      <c r="Z67" s="94"/>
      <c r="AA67" s="94"/>
    </row>
    <row r="68" spans="2:27">
      <c r="B68" s="142"/>
      <c r="C68" s="143"/>
      <c r="D68" s="143"/>
      <c r="E68" s="143"/>
      <c r="F68" s="143"/>
      <c r="G68" s="143"/>
      <c r="H68" s="143"/>
      <c r="I68" s="143"/>
      <c r="J68" s="143"/>
      <c r="K68" s="143"/>
      <c r="L68" s="96"/>
      <c r="M68" s="96"/>
      <c r="N68" s="96"/>
      <c r="O68" s="96"/>
      <c r="P68" s="96"/>
      <c r="Q68" s="96"/>
      <c r="R68" s="96"/>
      <c r="S68" s="96"/>
      <c r="T68" s="96"/>
      <c r="U68" s="97"/>
      <c r="V68" s="98"/>
      <c r="W68" s="92"/>
    </row>
    <row r="69" spans="2:27">
      <c r="B69" s="142"/>
      <c r="C69" s="143"/>
      <c r="D69" s="143"/>
      <c r="E69" s="143"/>
      <c r="F69" s="143"/>
      <c r="G69" s="143"/>
      <c r="H69" s="143"/>
      <c r="I69" s="143"/>
      <c r="J69" s="143"/>
      <c r="K69" s="143"/>
      <c r="L69" s="96"/>
      <c r="M69" s="96"/>
      <c r="N69" s="96"/>
      <c r="O69" s="96"/>
      <c r="P69" s="96"/>
      <c r="Q69" s="96"/>
      <c r="R69" s="96"/>
      <c r="S69" s="96"/>
      <c r="T69" s="96"/>
      <c r="U69" s="97"/>
      <c r="V69" s="98"/>
      <c r="W69" s="92"/>
      <c r="Y69" s="94"/>
      <c r="Z69" s="94"/>
      <c r="AA69" s="94"/>
    </row>
    <row r="70" spans="2:27">
      <c r="B70" s="142"/>
      <c r="C70" s="143"/>
      <c r="D70" s="143"/>
      <c r="E70" s="143"/>
      <c r="F70" s="143"/>
      <c r="G70" s="143"/>
      <c r="H70" s="143"/>
      <c r="I70" s="143"/>
      <c r="J70" s="143"/>
      <c r="K70" s="143"/>
      <c r="L70" s="96"/>
      <c r="M70" s="96"/>
      <c r="N70" s="96"/>
      <c r="O70" s="96"/>
      <c r="P70" s="96"/>
      <c r="Q70" s="96"/>
      <c r="R70" s="96"/>
      <c r="S70" s="96"/>
      <c r="T70" s="96"/>
      <c r="U70" s="97"/>
      <c r="V70" s="98"/>
      <c r="W70" s="92"/>
      <c r="Y70" s="94"/>
      <c r="Z70" s="94"/>
      <c r="AA70" s="94"/>
    </row>
    <row r="71" spans="2:27">
      <c r="B71" s="142"/>
      <c r="C71" s="143"/>
      <c r="D71" s="143"/>
      <c r="E71" s="143"/>
      <c r="F71" s="143"/>
      <c r="G71" s="143"/>
      <c r="H71" s="143"/>
      <c r="I71" s="143"/>
      <c r="J71" s="143"/>
      <c r="K71" s="143"/>
      <c r="L71" s="96"/>
      <c r="M71" s="96"/>
      <c r="N71" s="96"/>
      <c r="O71" s="96"/>
      <c r="P71" s="96"/>
      <c r="Q71" s="96"/>
      <c r="R71" s="96"/>
      <c r="S71" s="96"/>
      <c r="T71" s="96"/>
      <c r="U71" s="97"/>
      <c r="V71" s="98"/>
      <c r="W71" s="92"/>
      <c r="Y71" s="94"/>
      <c r="Z71" s="94"/>
      <c r="AA71" s="94"/>
    </row>
    <row r="72" spans="2:27">
      <c r="B72" s="142"/>
      <c r="C72" s="143"/>
      <c r="D72" s="143"/>
      <c r="E72" s="143"/>
      <c r="F72" s="143"/>
      <c r="G72" s="143"/>
      <c r="H72" s="143"/>
      <c r="I72" s="143"/>
      <c r="J72" s="143"/>
      <c r="K72" s="143"/>
      <c r="L72" s="96"/>
      <c r="M72" s="96"/>
      <c r="N72" s="96"/>
      <c r="O72" s="96"/>
      <c r="P72" s="96"/>
      <c r="Q72" s="96"/>
      <c r="R72" s="96"/>
      <c r="S72" s="96"/>
      <c r="T72" s="96"/>
      <c r="U72" s="97"/>
      <c r="V72" s="98"/>
      <c r="W72" s="92"/>
      <c r="Y72" s="94"/>
      <c r="Z72" s="94"/>
      <c r="AA72" s="94"/>
    </row>
    <row r="73" spans="2:27">
      <c r="B73" s="142"/>
      <c r="C73" s="143"/>
      <c r="D73" s="143"/>
      <c r="E73" s="143"/>
      <c r="F73" s="143"/>
      <c r="G73" s="143"/>
      <c r="H73" s="143"/>
      <c r="I73" s="143"/>
      <c r="J73" s="143"/>
      <c r="K73" s="143"/>
      <c r="L73" s="96"/>
      <c r="M73" s="96"/>
      <c r="N73" s="96"/>
      <c r="O73" s="96"/>
      <c r="P73" s="96"/>
      <c r="Q73" s="96"/>
      <c r="R73" s="96"/>
      <c r="S73" s="96"/>
      <c r="T73" s="96"/>
      <c r="U73" s="97"/>
      <c r="V73" s="98"/>
      <c r="W73" s="92"/>
      <c r="Y73" s="94"/>
      <c r="Z73" s="94"/>
      <c r="AA73" s="94"/>
    </row>
    <row r="74" spans="2:27">
      <c r="B74" s="142"/>
      <c r="C74" s="143"/>
      <c r="D74" s="143"/>
      <c r="E74" s="143"/>
      <c r="F74" s="143"/>
      <c r="G74" s="143"/>
      <c r="H74" s="143"/>
      <c r="I74" s="143"/>
      <c r="J74" s="143"/>
      <c r="K74" s="143"/>
      <c r="L74" s="96"/>
      <c r="M74" s="96"/>
      <c r="N74" s="96"/>
      <c r="O74" s="96"/>
      <c r="P74" s="96"/>
      <c r="Q74" s="96"/>
      <c r="R74" s="96"/>
      <c r="S74" s="96"/>
      <c r="T74" s="96"/>
      <c r="U74" s="97"/>
      <c r="V74" s="98"/>
      <c r="W74" s="92"/>
      <c r="Y74" s="94"/>
      <c r="Z74" s="94"/>
      <c r="AA74" s="94"/>
    </row>
    <row r="75" spans="2:27">
      <c r="B75" s="142"/>
      <c r="C75" s="143"/>
      <c r="D75" s="143"/>
      <c r="E75" s="143"/>
      <c r="F75" s="143"/>
      <c r="G75" s="143"/>
      <c r="H75" s="143"/>
      <c r="I75" s="143"/>
      <c r="J75" s="143"/>
      <c r="K75" s="143"/>
      <c r="L75" s="96"/>
      <c r="M75" s="96"/>
      <c r="N75" s="96"/>
      <c r="O75" s="96"/>
      <c r="P75" s="96"/>
      <c r="Q75" s="96"/>
      <c r="R75" s="96"/>
      <c r="S75" s="96"/>
      <c r="T75" s="96"/>
      <c r="U75" s="97"/>
      <c r="V75" s="98"/>
      <c r="W75" s="92"/>
    </row>
    <row r="76" spans="2:27">
      <c r="B76" s="142"/>
      <c r="C76" s="143"/>
      <c r="D76" s="143"/>
      <c r="E76" s="143"/>
      <c r="F76" s="143"/>
      <c r="G76" s="143"/>
      <c r="H76" s="143"/>
      <c r="I76" s="143"/>
      <c r="J76" s="143"/>
      <c r="K76" s="143"/>
      <c r="L76" s="92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Y76" s="94"/>
      <c r="Z76" s="94"/>
      <c r="AA76" s="94"/>
    </row>
    <row r="77" spans="2:27">
      <c r="B77" s="142"/>
      <c r="C77" s="143"/>
      <c r="D77" s="143"/>
      <c r="E77" s="143"/>
      <c r="F77" s="143"/>
      <c r="G77" s="143"/>
      <c r="H77" s="143"/>
      <c r="I77" s="143"/>
      <c r="J77" s="143"/>
      <c r="K77" s="143"/>
      <c r="Y77" s="94"/>
      <c r="Z77" s="94"/>
      <c r="AA77" s="94"/>
    </row>
    <row r="78" spans="2:27">
      <c r="B78" s="142"/>
      <c r="C78" s="143"/>
      <c r="D78" s="143"/>
      <c r="E78" s="143"/>
      <c r="F78" s="143"/>
      <c r="G78" s="143"/>
      <c r="H78" s="143"/>
      <c r="I78" s="143"/>
      <c r="J78" s="143"/>
      <c r="K78" s="143"/>
      <c r="Y78" s="94"/>
      <c r="Z78" s="94"/>
      <c r="AA78" s="94"/>
    </row>
    <row r="79" spans="2:27">
      <c r="B79" s="142"/>
      <c r="C79" s="143"/>
      <c r="D79" s="143"/>
      <c r="E79" s="143"/>
      <c r="F79" s="143"/>
      <c r="G79" s="143"/>
      <c r="H79" s="143"/>
      <c r="I79" s="143"/>
      <c r="J79" s="143"/>
      <c r="K79" s="143"/>
      <c r="Y79" s="94"/>
      <c r="Z79" s="94"/>
      <c r="AA79" s="94"/>
    </row>
    <row r="80" spans="2:27">
      <c r="B80" s="142"/>
      <c r="C80" s="143"/>
      <c r="D80" s="143"/>
      <c r="E80" s="143"/>
      <c r="F80" s="143"/>
      <c r="G80" s="143"/>
      <c r="H80" s="143"/>
      <c r="I80" s="143"/>
      <c r="J80" s="143"/>
      <c r="K80" s="143"/>
      <c r="Y80" s="94"/>
      <c r="Z80" s="94"/>
      <c r="AA80" s="94"/>
    </row>
    <row r="81" spans="2:27">
      <c r="B81" s="142"/>
      <c r="C81" s="143"/>
      <c r="D81" s="143"/>
      <c r="E81" s="143"/>
      <c r="F81" s="143"/>
      <c r="G81" s="143"/>
      <c r="H81" s="143"/>
      <c r="I81" s="143"/>
      <c r="J81" s="143"/>
      <c r="K81" s="143"/>
      <c r="Y81" s="94"/>
      <c r="Z81" s="94"/>
      <c r="AA81" s="94"/>
    </row>
    <row r="82" spans="2:27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27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Y83" s="94"/>
      <c r="Z83" s="94"/>
      <c r="AA83" s="94"/>
    </row>
    <row r="84" spans="2:27">
      <c r="B84" s="142"/>
      <c r="C84" s="143"/>
      <c r="D84" s="143"/>
      <c r="E84" s="143"/>
      <c r="F84" s="143"/>
      <c r="G84" s="143"/>
      <c r="H84" s="143"/>
      <c r="I84" s="143"/>
      <c r="J84" s="143"/>
      <c r="K84" s="143"/>
      <c r="Y84" s="94"/>
      <c r="Z84" s="94"/>
      <c r="AA84" s="94"/>
    </row>
    <row r="85" spans="2:27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Y85" s="94"/>
      <c r="Z85" s="94"/>
      <c r="AA85" s="94"/>
    </row>
    <row r="86" spans="2:27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Y86" s="94"/>
      <c r="Z86" s="94"/>
      <c r="AA86" s="94"/>
    </row>
    <row r="87" spans="2:27">
      <c r="B87" s="142"/>
      <c r="C87" s="143"/>
      <c r="D87" s="143"/>
      <c r="E87" s="143"/>
      <c r="F87" s="143"/>
      <c r="G87" s="143"/>
      <c r="H87" s="143"/>
      <c r="I87" s="143"/>
      <c r="J87" s="143"/>
      <c r="K87" s="143"/>
      <c r="Y87" s="94"/>
      <c r="Z87" s="94"/>
      <c r="AA87" s="94"/>
    </row>
    <row r="88" spans="2:27">
      <c r="B88" s="142"/>
      <c r="C88" s="143"/>
      <c r="D88" s="143"/>
      <c r="E88" s="143"/>
      <c r="F88" s="143"/>
      <c r="G88" s="143"/>
      <c r="H88" s="143"/>
      <c r="I88" s="143"/>
      <c r="J88" s="143"/>
      <c r="K88" s="143"/>
      <c r="Y88" s="94"/>
      <c r="Z88" s="94"/>
      <c r="AA88" s="94"/>
    </row>
    <row r="89" spans="2:27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27">
      <c r="B90" s="142"/>
      <c r="C90" s="143"/>
      <c r="D90" s="143"/>
      <c r="E90" s="143"/>
      <c r="F90" s="143"/>
      <c r="G90" s="143"/>
      <c r="H90" s="143"/>
      <c r="I90" s="143"/>
      <c r="J90" s="143"/>
      <c r="K90" s="143"/>
      <c r="Y90" s="94"/>
      <c r="Z90" s="94"/>
      <c r="AA90" s="94"/>
    </row>
    <row r="91" spans="2:27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Y91" s="94"/>
      <c r="Z91" s="94"/>
      <c r="AA91" s="94"/>
    </row>
    <row r="92" spans="2:27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Y92" s="94"/>
      <c r="Z92" s="94"/>
      <c r="AA92" s="94"/>
    </row>
    <row r="93" spans="2:27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Y93" s="94"/>
      <c r="Z93" s="94"/>
      <c r="AA93" s="94"/>
    </row>
    <row r="94" spans="2:27">
      <c r="B94" s="142"/>
      <c r="C94" s="143"/>
      <c r="D94" s="143"/>
      <c r="E94" s="143"/>
      <c r="F94" s="143"/>
      <c r="G94" s="143"/>
      <c r="H94" s="143"/>
      <c r="I94" s="143"/>
      <c r="J94" s="143"/>
      <c r="K94" s="143"/>
      <c r="Y94" s="94"/>
      <c r="Z94" s="94"/>
      <c r="AA94" s="94"/>
    </row>
    <row r="95" spans="2:27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Y95" s="94"/>
      <c r="Z95" s="94"/>
      <c r="AA95" s="94"/>
    </row>
    <row r="96" spans="2:27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27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Y97" s="94"/>
      <c r="Z97" s="94"/>
      <c r="AA97" s="94"/>
    </row>
    <row r="98" spans="2:27">
      <c r="B98" s="142"/>
      <c r="C98" s="143"/>
      <c r="D98" s="143"/>
      <c r="E98" s="143"/>
      <c r="F98" s="143"/>
      <c r="G98" s="143"/>
      <c r="H98" s="143"/>
      <c r="I98" s="143"/>
      <c r="J98" s="143"/>
      <c r="K98" s="143"/>
      <c r="Y98" s="94"/>
      <c r="Z98" s="94"/>
      <c r="AA98" s="94"/>
    </row>
    <row r="99" spans="2:27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Y99" s="94"/>
      <c r="Z99" s="94"/>
      <c r="AA99" s="94"/>
    </row>
    <row r="100" spans="2:27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Y100" s="94"/>
      <c r="Z100" s="94"/>
      <c r="AA100" s="94"/>
    </row>
    <row r="101" spans="2:27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Y101" s="94"/>
      <c r="Z101" s="94"/>
      <c r="AA101" s="94"/>
    </row>
    <row r="102" spans="2:27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Y102" s="94"/>
      <c r="Z102" s="94"/>
      <c r="AA102" s="94"/>
    </row>
    <row r="103" spans="2:27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27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Y104" s="94"/>
      <c r="Z104" s="94"/>
      <c r="AA104" s="94"/>
    </row>
    <row r="105" spans="2:27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Y105" s="94"/>
      <c r="Z105" s="94"/>
      <c r="AA105" s="94"/>
    </row>
    <row r="106" spans="2:27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Y106" s="94"/>
      <c r="Z106" s="94"/>
      <c r="AA106" s="94"/>
    </row>
    <row r="107" spans="2:27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  <c r="Y107" s="94"/>
      <c r="Z107" s="94"/>
      <c r="AA107" s="94"/>
    </row>
    <row r="108" spans="2:27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  <c r="Y108" s="94"/>
      <c r="Z108" s="94"/>
      <c r="AA108" s="94"/>
    </row>
    <row r="109" spans="2:27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Y109" s="94"/>
      <c r="Z109" s="94"/>
      <c r="AA109" s="94"/>
    </row>
    <row r="110" spans="2:27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27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Y111" s="94"/>
      <c r="Z111" s="94"/>
      <c r="AA111" s="94"/>
    </row>
    <row r="112" spans="2:27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Y112" s="94"/>
      <c r="Z112" s="94"/>
      <c r="AA112" s="94"/>
    </row>
    <row r="113" spans="2:27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  <c r="Y113" s="94"/>
      <c r="Z113" s="94"/>
      <c r="AA113" s="94"/>
    </row>
    <row r="114" spans="2:27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Y114" s="94"/>
      <c r="Z114" s="94"/>
      <c r="AA114" s="94"/>
    </row>
    <row r="115" spans="2:27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  <c r="Y115" s="94"/>
      <c r="Z115" s="94"/>
      <c r="AA115" s="94"/>
    </row>
    <row r="116" spans="2:27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Y116" s="94"/>
      <c r="Z116" s="94"/>
      <c r="AA116" s="94"/>
    </row>
    <row r="117" spans="2:27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27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Y118" s="94"/>
      <c r="Z118" s="94"/>
      <c r="AA118" s="94"/>
    </row>
    <row r="119" spans="2:27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Y119" s="94"/>
      <c r="Z119" s="94"/>
      <c r="AA119" s="94"/>
    </row>
    <row r="120" spans="2:27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  <c r="Y120" s="94"/>
      <c r="Z120" s="94"/>
      <c r="AA120" s="94"/>
    </row>
    <row r="121" spans="2:27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  <c r="Y121" s="94"/>
      <c r="Z121" s="94"/>
      <c r="AA121" s="94"/>
    </row>
    <row r="122" spans="2:27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  <c r="Y122" s="94"/>
      <c r="Z122" s="94"/>
      <c r="AA122" s="94"/>
    </row>
    <row r="123" spans="2:27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  <c r="Y123" s="94"/>
      <c r="Z123" s="94"/>
      <c r="AA123" s="94"/>
    </row>
    <row r="124" spans="2:27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27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  <c r="Y125" s="94"/>
      <c r="Z125" s="94"/>
      <c r="AA125" s="94"/>
    </row>
    <row r="126" spans="2:27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  <c r="Y126" s="94"/>
      <c r="Z126" s="94"/>
      <c r="AA126" s="94"/>
    </row>
    <row r="127" spans="2:27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  <c r="Y127" s="94"/>
      <c r="Z127" s="94"/>
      <c r="AA127" s="94"/>
    </row>
    <row r="128" spans="2:27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  <c r="Y128" s="94"/>
      <c r="Z128" s="94"/>
      <c r="AA128" s="94"/>
    </row>
    <row r="129" spans="2:27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  <c r="Y129" s="94"/>
      <c r="Z129" s="94"/>
      <c r="AA129" s="94"/>
    </row>
    <row r="130" spans="2:27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  <c r="Y130" s="94"/>
      <c r="Z130" s="94"/>
      <c r="AA130" s="94"/>
    </row>
    <row r="131" spans="2:27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27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  <c r="Y132" s="94"/>
      <c r="Z132" s="94"/>
      <c r="AA132" s="94"/>
    </row>
    <row r="133" spans="2:27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  <c r="Y133" s="94"/>
      <c r="Z133" s="94"/>
      <c r="AA133" s="94"/>
    </row>
    <row r="134" spans="2:27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  <c r="Y134" s="94"/>
      <c r="Z134" s="94"/>
      <c r="AA134" s="94"/>
    </row>
    <row r="135" spans="2:27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  <c r="Y135" s="94"/>
      <c r="Z135" s="94"/>
      <c r="AA135" s="94"/>
    </row>
    <row r="136" spans="2:27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  <c r="Y136" s="94"/>
      <c r="Z136" s="94"/>
      <c r="AA136" s="94"/>
    </row>
    <row r="137" spans="2:27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  <c r="Y137" s="94"/>
      <c r="Z137" s="94"/>
      <c r="AA137" s="94"/>
    </row>
    <row r="138" spans="2:27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27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  <c r="Y139" s="94"/>
      <c r="Z139" s="94"/>
      <c r="AA139" s="94"/>
    </row>
    <row r="140" spans="2:27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  <c r="Y140" s="94"/>
      <c r="Z140" s="94"/>
      <c r="AA140" s="94"/>
    </row>
    <row r="141" spans="2:27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  <c r="Y141" s="94"/>
      <c r="Z141" s="94"/>
      <c r="AA141" s="94"/>
    </row>
    <row r="142" spans="2:27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  <c r="Y142" s="94"/>
      <c r="Z142" s="94"/>
      <c r="AA142" s="94"/>
    </row>
    <row r="143" spans="2:27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  <c r="Y143" s="94"/>
      <c r="Z143" s="94"/>
      <c r="AA143" s="94"/>
    </row>
    <row r="144" spans="2:27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  <c r="Y144" s="94"/>
      <c r="Z144" s="94"/>
      <c r="AA144" s="94"/>
    </row>
    <row r="145" spans="2:27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27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  <c r="Y146" s="94"/>
      <c r="Z146" s="94"/>
      <c r="AA146" s="94"/>
    </row>
    <row r="147" spans="2:27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  <c r="Y147" s="94"/>
      <c r="Z147" s="94"/>
      <c r="AA147" s="94"/>
    </row>
    <row r="148" spans="2:27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  <c r="Y148" s="94"/>
      <c r="Z148" s="94"/>
      <c r="AA148" s="94"/>
    </row>
    <row r="149" spans="2:27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  <c r="Y149" s="94"/>
      <c r="Z149" s="94"/>
      <c r="AA149" s="94"/>
    </row>
    <row r="150" spans="2:27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  <c r="Y150" s="94"/>
      <c r="Z150" s="94"/>
      <c r="AA150" s="94"/>
    </row>
    <row r="151" spans="2:27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  <c r="Y151" s="94"/>
      <c r="Z151" s="94"/>
      <c r="AA151" s="94"/>
    </row>
    <row r="152" spans="2:27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27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  <c r="Y153" s="94"/>
      <c r="Z153" s="94"/>
      <c r="AA153" s="94"/>
    </row>
    <row r="154" spans="2:27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  <c r="Y154" s="94"/>
      <c r="Z154" s="94"/>
      <c r="AA154" s="94"/>
    </row>
    <row r="155" spans="2:27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  <c r="Y155" s="94"/>
      <c r="Z155" s="94"/>
      <c r="AA155" s="94"/>
    </row>
    <row r="156" spans="2:27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  <c r="Y156" s="94"/>
      <c r="Z156" s="94"/>
      <c r="AA156" s="94"/>
    </row>
    <row r="157" spans="2:27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  <c r="Y157" s="94"/>
      <c r="Z157" s="94"/>
      <c r="AA157" s="94"/>
    </row>
    <row r="158" spans="2:27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  <c r="Y158" s="94"/>
      <c r="Z158" s="94"/>
      <c r="AA158" s="94"/>
    </row>
    <row r="159" spans="2:27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27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  <c r="Y160" s="94"/>
      <c r="Z160" s="94"/>
      <c r="AA160" s="94"/>
    </row>
    <row r="161" spans="2:27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  <c r="Y161" s="94"/>
      <c r="Z161" s="94"/>
      <c r="AA161" s="94"/>
    </row>
    <row r="162" spans="2:27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  <c r="Y162" s="94"/>
      <c r="Z162" s="94"/>
      <c r="AA162" s="94"/>
    </row>
    <row r="163" spans="2:27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  <c r="Y163" s="94"/>
      <c r="Z163" s="94"/>
      <c r="AA163" s="94"/>
    </row>
    <row r="164" spans="2:27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  <c r="Y164" s="94"/>
      <c r="Z164" s="94"/>
      <c r="AA164" s="94"/>
    </row>
    <row r="165" spans="2:27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  <c r="Y165" s="94"/>
      <c r="Z165" s="94"/>
      <c r="AA165" s="94"/>
    </row>
    <row r="166" spans="2:27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27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  <c r="Y167" s="94"/>
      <c r="Z167" s="94"/>
      <c r="AA167" s="94"/>
    </row>
    <row r="168" spans="2:27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  <c r="Y168" s="94"/>
      <c r="Z168" s="94"/>
      <c r="AA168" s="94"/>
    </row>
    <row r="169" spans="2:27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  <c r="Y169" s="94"/>
      <c r="Z169" s="94"/>
      <c r="AA169" s="94"/>
    </row>
    <row r="170" spans="2:27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  <c r="Y170" s="94"/>
      <c r="Z170" s="94"/>
      <c r="AA170" s="94"/>
    </row>
    <row r="171" spans="2:27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  <c r="Y171" s="94"/>
      <c r="Z171" s="94"/>
      <c r="AA171" s="94"/>
    </row>
    <row r="172" spans="2:27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  <c r="Y172" s="94"/>
      <c r="Z172" s="94"/>
      <c r="AA172" s="94"/>
    </row>
    <row r="173" spans="2:27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27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  <c r="Y174" s="94"/>
      <c r="Z174" s="94"/>
      <c r="AA174" s="94"/>
    </row>
    <row r="175" spans="2:27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  <c r="Y175" s="94"/>
      <c r="Z175" s="94"/>
      <c r="AA175" s="94"/>
    </row>
    <row r="176" spans="2:27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  <c r="Y176" s="94"/>
      <c r="Z176" s="94"/>
      <c r="AA176" s="94"/>
    </row>
    <row r="177" spans="2:27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  <c r="Y177" s="94"/>
      <c r="Z177" s="94"/>
      <c r="AA177" s="94"/>
    </row>
    <row r="178" spans="2:27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  <c r="Y178" s="94"/>
      <c r="Z178" s="94"/>
      <c r="AA178" s="94"/>
    </row>
    <row r="179" spans="2:27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  <c r="Y179" s="94"/>
      <c r="Z179" s="94"/>
      <c r="AA179" s="94"/>
    </row>
    <row r="180" spans="2:27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27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  <c r="Y181" s="94"/>
      <c r="Z181" s="94"/>
      <c r="AA181" s="94"/>
    </row>
    <row r="182" spans="2:27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  <c r="Y182" s="94"/>
      <c r="Z182" s="94"/>
      <c r="AA182" s="94"/>
    </row>
    <row r="183" spans="2:27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  <c r="Y183" s="94"/>
      <c r="Z183" s="94"/>
      <c r="AA183" s="94"/>
    </row>
    <row r="184" spans="2:27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  <c r="Y184" s="94"/>
      <c r="Z184" s="94"/>
      <c r="AA184" s="94"/>
    </row>
    <row r="185" spans="2:27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  <c r="Y185" s="94"/>
      <c r="Z185" s="94"/>
      <c r="AA185" s="94"/>
    </row>
    <row r="186" spans="2:27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  <c r="Y186" s="94"/>
      <c r="Z186" s="94"/>
      <c r="AA186" s="94"/>
    </row>
    <row r="187" spans="2:27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27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  <c r="Y188" s="94"/>
      <c r="Z188" s="94"/>
      <c r="AA188" s="94"/>
    </row>
    <row r="189" spans="2:27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  <c r="Y189" s="94"/>
      <c r="Z189" s="94"/>
      <c r="AA189" s="94"/>
    </row>
    <row r="190" spans="2:27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  <c r="Y190" s="94"/>
      <c r="Z190" s="94"/>
      <c r="AA190" s="94"/>
    </row>
    <row r="191" spans="2:27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  <c r="Y191" s="94"/>
      <c r="Z191" s="94"/>
      <c r="AA191" s="94"/>
    </row>
    <row r="192" spans="2:27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  <c r="Y192" s="94"/>
      <c r="Z192" s="94"/>
      <c r="AA192" s="94"/>
    </row>
    <row r="193" spans="2:27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  <c r="Y193" s="94"/>
      <c r="Z193" s="94"/>
      <c r="AA193" s="94"/>
    </row>
    <row r="194" spans="2:27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27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  <c r="Y195" s="94"/>
      <c r="Z195" s="94"/>
      <c r="AA195" s="94"/>
    </row>
    <row r="196" spans="2:27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  <c r="Y196" s="94"/>
      <c r="Z196" s="94"/>
      <c r="AA196" s="94"/>
    </row>
    <row r="197" spans="2:27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  <c r="Y197" s="94"/>
      <c r="Z197" s="94"/>
      <c r="AA197" s="94"/>
    </row>
    <row r="198" spans="2:27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  <c r="Y198" s="94"/>
      <c r="Z198" s="94"/>
      <c r="AA198" s="94"/>
    </row>
    <row r="199" spans="2:27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  <c r="Y199" s="94"/>
      <c r="Z199" s="94"/>
      <c r="AA199" s="94"/>
    </row>
    <row r="200" spans="2:27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  <c r="Y200" s="94"/>
      <c r="Z200" s="94"/>
      <c r="AA200" s="94"/>
    </row>
    <row r="202" spans="2:27">
      <c r="Y202" s="94"/>
      <c r="Z202" s="94"/>
      <c r="AA202" s="94"/>
    </row>
    <row r="203" spans="2:27">
      <c r="Y203" s="94"/>
      <c r="Z203" s="94"/>
      <c r="AA203" s="94"/>
    </row>
    <row r="204" spans="2:27">
      <c r="Y204" s="94"/>
      <c r="Z204" s="94"/>
      <c r="AA204" s="94"/>
    </row>
    <row r="205" spans="2:27">
      <c r="Y205" s="94"/>
      <c r="Z205" s="94"/>
      <c r="AA205" s="94"/>
    </row>
    <row r="206" spans="2:27">
      <c r="Y206" s="94"/>
      <c r="Z206" s="94"/>
      <c r="AA206" s="94"/>
    </row>
    <row r="207" spans="2:27">
      <c r="Y207" s="94"/>
      <c r="Z207" s="94"/>
      <c r="AA207" s="94"/>
    </row>
    <row r="209" spans="25:27">
      <c r="Y209" s="94"/>
      <c r="Z209" s="94"/>
      <c r="AA209" s="94"/>
    </row>
    <row r="210" spans="25:27">
      <c r="Y210" s="94"/>
      <c r="Z210" s="94"/>
      <c r="AA210" s="94"/>
    </row>
    <row r="211" spans="25:27">
      <c r="Y211" s="94"/>
      <c r="Z211" s="94"/>
      <c r="AA211" s="94"/>
    </row>
    <row r="212" spans="25:27">
      <c r="Y212" s="94"/>
      <c r="Z212" s="94"/>
      <c r="AA212" s="94"/>
    </row>
    <row r="213" spans="25:27">
      <c r="Y213" s="94"/>
      <c r="Z213" s="94"/>
      <c r="AA213" s="94"/>
    </row>
    <row r="214" spans="25:27">
      <c r="Y214" s="94"/>
      <c r="Z214" s="94"/>
      <c r="AA214" s="94"/>
    </row>
    <row r="216" spans="25:27">
      <c r="Y216" s="94"/>
      <c r="Z216" s="94"/>
      <c r="AA216" s="94"/>
    </row>
    <row r="217" spans="25:27">
      <c r="Y217" s="94"/>
      <c r="Z217" s="94"/>
      <c r="AA217" s="94"/>
    </row>
    <row r="218" spans="25:27">
      <c r="Y218" s="94"/>
      <c r="Z218" s="94"/>
      <c r="AA218" s="94"/>
    </row>
    <row r="219" spans="25:27">
      <c r="Y219" s="94"/>
      <c r="Z219" s="94"/>
      <c r="AA219" s="94"/>
    </row>
    <row r="220" spans="25:27">
      <c r="Y220" s="94"/>
      <c r="Z220" s="94"/>
      <c r="AA220" s="94"/>
    </row>
    <row r="221" spans="25:27">
      <c r="Y221" s="94"/>
      <c r="Z221" s="94"/>
      <c r="AA221" s="94"/>
    </row>
    <row r="223" spans="25:27">
      <c r="Y223" s="94"/>
      <c r="Z223" s="94"/>
      <c r="AA223" s="94"/>
    </row>
    <row r="224" spans="25:27">
      <c r="Y224" s="94"/>
      <c r="Z224" s="94"/>
      <c r="AA224" s="94"/>
    </row>
    <row r="225" spans="25:27">
      <c r="Y225" s="94"/>
      <c r="Z225" s="94"/>
      <c r="AA225" s="94"/>
    </row>
    <row r="226" spans="25:27">
      <c r="Y226" s="94"/>
      <c r="Z226" s="94"/>
      <c r="AA226" s="94"/>
    </row>
    <row r="227" spans="25:27">
      <c r="Y227" s="94"/>
      <c r="Z227" s="94"/>
      <c r="AA227" s="94"/>
    </row>
    <row r="228" spans="25:27">
      <c r="Y228" s="94"/>
      <c r="Z228" s="94"/>
      <c r="AA228" s="94"/>
    </row>
    <row r="230" spans="25:27">
      <c r="Y230" s="94"/>
      <c r="Z230" s="94"/>
      <c r="AA230" s="94"/>
    </row>
    <row r="231" spans="25:27">
      <c r="Y231" s="94"/>
      <c r="Z231" s="94"/>
      <c r="AA231" s="94"/>
    </row>
    <row r="232" spans="25:27">
      <c r="Y232" s="94"/>
      <c r="Z232" s="94"/>
      <c r="AA232" s="94"/>
    </row>
    <row r="233" spans="25:27">
      <c r="Y233" s="94"/>
      <c r="Z233" s="94"/>
      <c r="AA233" s="94"/>
    </row>
    <row r="234" spans="25:27">
      <c r="Y234" s="94"/>
      <c r="Z234" s="94"/>
      <c r="AA234" s="94"/>
    </row>
    <row r="235" spans="25:27">
      <c r="Y235" s="94"/>
      <c r="Z235" s="94"/>
      <c r="AA235" s="94"/>
    </row>
    <row r="237" spans="25:27">
      <c r="Y237" s="94"/>
      <c r="Z237" s="94"/>
      <c r="AA237" s="94"/>
    </row>
    <row r="238" spans="25:27">
      <c r="Y238" s="94"/>
      <c r="Z238" s="94"/>
      <c r="AA238" s="94"/>
    </row>
    <row r="239" spans="25:27">
      <c r="Y239" s="94"/>
      <c r="Z239" s="94"/>
      <c r="AA239" s="94"/>
    </row>
    <row r="240" spans="25:27">
      <c r="Y240" s="94"/>
      <c r="Z240" s="94"/>
      <c r="AA240" s="94"/>
    </row>
    <row r="241" spans="25:27">
      <c r="Y241" s="94"/>
      <c r="Z241" s="94"/>
      <c r="AA241" s="94"/>
    </row>
    <row r="242" spans="25:27">
      <c r="Y242" s="94"/>
      <c r="Z242" s="94"/>
      <c r="AA242" s="94"/>
    </row>
    <row r="244" spans="25:27">
      <c r="Y244" s="94"/>
      <c r="Z244" s="94"/>
      <c r="AA244" s="94"/>
    </row>
    <row r="245" spans="25:27">
      <c r="Y245" s="94"/>
      <c r="Z245" s="94"/>
      <c r="AA245" s="94"/>
    </row>
    <row r="246" spans="25:27">
      <c r="Y246" s="94"/>
      <c r="Z246" s="94"/>
      <c r="AA246" s="94"/>
    </row>
    <row r="247" spans="25:27">
      <c r="Y247" s="94"/>
      <c r="Z247" s="94"/>
      <c r="AA247" s="94"/>
    </row>
    <row r="248" spans="25:27">
      <c r="Y248" s="94"/>
      <c r="Z248" s="94"/>
      <c r="AA248" s="94"/>
    </row>
    <row r="249" spans="25:27">
      <c r="Y249" s="94"/>
      <c r="Z249" s="94"/>
      <c r="AA249" s="94"/>
    </row>
    <row r="251" spans="25:27">
      <c r="Y251" s="94"/>
      <c r="Z251" s="94"/>
      <c r="AA251" s="94"/>
    </row>
    <row r="252" spans="25:27">
      <c r="Y252" s="94"/>
      <c r="Z252" s="94"/>
      <c r="AA252" s="94"/>
    </row>
    <row r="253" spans="25:27">
      <c r="Y253" s="94"/>
      <c r="Z253" s="94"/>
      <c r="AA253" s="94"/>
    </row>
    <row r="254" spans="25:27">
      <c r="Y254" s="94"/>
      <c r="Z254" s="94"/>
      <c r="AA254" s="94"/>
    </row>
    <row r="255" spans="25:27">
      <c r="Y255" s="94"/>
      <c r="Z255" s="94"/>
      <c r="AA255" s="94"/>
    </row>
    <row r="256" spans="25:27">
      <c r="Y256" s="94"/>
      <c r="Z256" s="94"/>
      <c r="AA256" s="94"/>
    </row>
    <row r="258" spans="25:27">
      <c r="Y258" s="94"/>
      <c r="Z258" s="94"/>
      <c r="AA258" s="94"/>
    </row>
    <row r="259" spans="25:27">
      <c r="Y259" s="94"/>
      <c r="Z259" s="94"/>
      <c r="AA259" s="94"/>
    </row>
    <row r="260" spans="25:27">
      <c r="Y260" s="94"/>
      <c r="Z260" s="94"/>
      <c r="AA260" s="94"/>
    </row>
    <row r="261" spans="25:27">
      <c r="Y261" s="94"/>
      <c r="Z261" s="94"/>
      <c r="AA261" s="94"/>
    </row>
    <row r="262" spans="25:27">
      <c r="Y262" s="94"/>
      <c r="Z262" s="94"/>
      <c r="AA262" s="94"/>
    </row>
    <row r="263" spans="25:27">
      <c r="Y263" s="94"/>
      <c r="Z263" s="94"/>
      <c r="AA263" s="94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V8" xr:uid="{00000000-0002-0000-04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V200"/>
  <sheetViews>
    <sheetView zoomScale="120" zoomScaleNormal="120" workbookViewId="0">
      <pane xSplit="1" ySplit="7" topLeftCell="B16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2" width="10.83203125" style="28" customWidth="1"/>
  </cols>
  <sheetData>
    <row r="1" spans="1:22">
      <c r="A1" s="54" t="s">
        <v>1</v>
      </c>
      <c r="B1" s="72">
        <v>5183</v>
      </c>
      <c r="C1" s="55" t="s">
        <v>9</v>
      </c>
      <c r="D1" s="74">
        <f>_xlfn.XLOOKUP(B1,'FC-Inv Setup'!A3:A22,'FC-Inv Setup'!I3:I22)</f>
        <v>46281</v>
      </c>
      <c r="E1" s="71"/>
      <c r="F1" s="47" t="s">
        <v>7</v>
      </c>
      <c r="G1" s="47" t="s">
        <v>8</v>
      </c>
      <c r="K1" s="63" t="s">
        <v>126</v>
      </c>
      <c r="L1" s="70" t="s">
        <v>127</v>
      </c>
    </row>
    <row r="2" spans="1:22">
      <c r="A2" s="54" t="s">
        <v>3</v>
      </c>
      <c r="B2" s="73" t="str">
        <f>_xlfn.XLOOKUP(B1,'FC-Inv Setup'!A3:A22,'FC-Inv Setup'!C3:C22)</f>
        <v>Krystiana Langford</v>
      </c>
      <c r="C2" s="54" t="s">
        <v>125</v>
      </c>
      <c r="D2" s="73" t="str">
        <f>_xlfn.XLOOKUP(B1,'FC-Inv Setup'!A3:A22,'FC-Inv Setup'!K3:K22)</f>
        <v>Medium</v>
      </c>
    </row>
    <row r="3" spans="1:22">
      <c r="A3" s="54" t="s">
        <v>4</v>
      </c>
      <c r="B3" s="73" t="str">
        <f>_xlfn.XLOOKUP(B1,'FC-Inv Setup'!A3:A22,'FC-Inv Setup'!D3:D22)</f>
        <v>Mukarram Norman</v>
      </c>
      <c r="D3" s="73"/>
    </row>
    <row r="4" spans="1:22">
      <c r="A4" s="54" t="s">
        <v>124</v>
      </c>
      <c r="B4" s="73" t="str">
        <f>_xlfn.XLOOKUP(B1,'FC-Inv Setup'!A3:A22,'FC-Inv Setup'!E3:E22)</f>
        <v>Mukarram</v>
      </c>
      <c r="D4" s="73"/>
    </row>
    <row r="5" spans="1:22">
      <c r="A5" s="54" t="s">
        <v>10</v>
      </c>
      <c r="B5" s="73" t="str">
        <f>_xlfn.XLOOKUP(B1,'FC-Inv Setup'!A3:A22,'FC-Inv Setup'!J3:J22)</f>
        <v>Thursday</v>
      </c>
      <c r="D5" s="73"/>
    </row>
    <row r="6" spans="1:22">
      <c r="C6" s="28" t="s">
        <v>312</v>
      </c>
      <c r="D6" s="28" t="s">
        <v>312</v>
      </c>
    </row>
    <row r="7" spans="1:22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</row>
    <row r="8" spans="1:22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77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8" t="s">
        <v>324</v>
      </c>
    </row>
    <row r="9" spans="1:22">
      <c r="A9" s="85" t="s">
        <v>325</v>
      </c>
      <c r="B9" s="79">
        <v>539331.57999999996</v>
      </c>
      <c r="C9" s="79"/>
      <c r="D9" s="79"/>
      <c r="E9" s="79">
        <v>119326.26</v>
      </c>
      <c r="F9" s="79">
        <v>94795.47</v>
      </c>
      <c r="G9" s="79">
        <v>441804.76</v>
      </c>
      <c r="H9" s="79">
        <v>73701.399999999994</v>
      </c>
      <c r="I9" s="79">
        <v>121675.19</v>
      </c>
      <c r="J9" s="79">
        <v>119569.19</v>
      </c>
      <c r="K9" s="79">
        <v>132452.82999999999</v>
      </c>
      <c r="L9" s="79">
        <v>440065.81</v>
      </c>
      <c r="M9" s="79">
        <v>80692.490000000005</v>
      </c>
      <c r="N9" s="79">
        <v>132660.74</v>
      </c>
      <c r="O9" s="79">
        <v>126427.74</v>
      </c>
      <c r="P9" s="79"/>
      <c r="Q9" s="79"/>
      <c r="R9" s="79"/>
      <c r="S9" s="79"/>
      <c r="T9" s="79"/>
      <c r="U9" s="79"/>
      <c r="V9" s="80"/>
    </row>
    <row r="10" spans="1:22">
      <c r="A10" s="84" t="s">
        <v>326</v>
      </c>
      <c r="B10" s="76">
        <v>4.03</v>
      </c>
      <c r="C10" s="76"/>
      <c r="D10" s="76"/>
      <c r="E10" s="76">
        <v>3.38</v>
      </c>
      <c r="F10" s="76">
        <v>3.41</v>
      </c>
      <c r="G10" s="76">
        <v>3.85</v>
      </c>
      <c r="H10" s="76">
        <v>3.43</v>
      </c>
      <c r="I10" s="76">
        <v>3.45</v>
      </c>
      <c r="J10" s="76">
        <v>3.44</v>
      </c>
      <c r="K10" s="76">
        <v>3.47</v>
      </c>
      <c r="L10" s="76">
        <v>4.0199999999999996</v>
      </c>
      <c r="M10" s="76">
        <v>3.31</v>
      </c>
      <c r="N10" s="76">
        <v>3.27</v>
      </c>
      <c r="O10" s="76">
        <v>3.13</v>
      </c>
      <c r="P10" s="76"/>
      <c r="Q10" s="76"/>
      <c r="R10" s="76"/>
      <c r="S10" s="76"/>
      <c r="T10" s="76"/>
      <c r="U10" s="76"/>
      <c r="V10" s="81"/>
    </row>
    <row r="11" spans="1:22">
      <c r="A11" s="85" t="s">
        <v>327</v>
      </c>
      <c r="B11" s="79">
        <v>21729.64</v>
      </c>
      <c r="C11" s="79"/>
      <c r="D11" s="79"/>
      <c r="E11" s="79">
        <v>4027.38</v>
      </c>
      <c r="F11" s="79">
        <v>3234.29</v>
      </c>
      <c r="G11" s="79">
        <v>16989.37</v>
      </c>
      <c r="H11" s="79">
        <v>2530.0100000000002</v>
      </c>
      <c r="I11" s="79">
        <v>4193.21</v>
      </c>
      <c r="J11" s="79">
        <v>4113.42</v>
      </c>
      <c r="K11" s="79">
        <v>4589.62</v>
      </c>
      <c r="L11" s="79">
        <v>17698.96</v>
      </c>
      <c r="M11" s="79">
        <v>2669.47</v>
      </c>
      <c r="N11" s="79">
        <v>4332.37</v>
      </c>
      <c r="O11" s="79">
        <v>3961.23</v>
      </c>
      <c r="P11" s="79"/>
      <c r="Q11" s="79"/>
      <c r="R11" s="79"/>
      <c r="S11" s="79"/>
      <c r="T11" s="79"/>
      <c r="U11" s="79"/>
      <c r="V11" s="80"/>
    </row>
    <row r="12" spans="1:22">
      <c r="A12" s="84" t="s">
        <v>328</v>
      </c>
      <c r="B12" s="76">
        <v>0.08</v>
      </c>
      <c r="C12" s="76"/>
      <c r="D12" s="76"/>
      <c r="E12" s="76">
        <v>0.1</v>
      </c>
      <c r="F12" s="76">
        <v>0.1</v>
      </c>
      <c r="G12" s="76">
        <v>0.1</v>
      </c>
      <c r="H12" s="76">
        <v>0.12</v>
      </c>
      <c r="I12" s="76">
        <v>0.12</v>
      </c>
      <c r="J12" s="76">
        <v>7.0000000000000007E-2</v>
      </c>
      <c r="K12" s="76">
        <v>0.06</v>
      </c>
      <c r="L12" s="76">
        <v>0.09</v>
      </c>
      <c r="M12" s="88">
        <v>0.05</v>
      </c>
      <c r="N12" s="76">
        <v>0.05</v>
      </c>
      <c r="O12" s="76">
        <v>0.08</v>
      </c>
      <c r="P12" s="76"/>
      <c r="Q12" s="76"/>
      <c r="R12" s="76"/>
      <c r="S12" s="76"/>
      <c r="T12" s="76"/>
      <c r="U12" s="76"/>
      <c r="V12" s="81"/>
    </row>
    <row r="13" spans="1:22">
      <c r="A13" s="85" t="s">
        <v>329</v>
      </c>
      <c r="B13" s="79">
        <v>0.26</v>
      </c>
      <c r="C13" s="79"/>
      <c r="D13" s="79"/>
      <c r="E13" s="79">
        <v>0.22</v>
      </c>
      <c r="F13" s="79">
        <v>0.38</v>
      </c>
      <c r="G13" s="79">
        <v>0.26</v>
      </c>
      <c r="H13" s="79">
        <v>0.18</v>
      </c>
      <c r="I13" s="79">
        <v>0.25</v>
      </c>
      <c r="J13" s="79">
        <v>0.26</v>
      </c>
      <c r="K13" s="79">
        <v>0.26</v>
      </c>
      <c r="L13" s="79">
        <v>0.27</v>
      </c>
      <c r="M13" s="79">
        <v>0.17</v>
      </c>
      <c r="N13" s="79">
        <v>0.17</v>
      </c>
      <c r="O13" s="79">
        <v>0.25</v>
      </c>
      <c r="P13" s="79"/>
      <c r="Q13" s="79"/>
      <c r="R13" s="79"/>
      <c r="S13" s="79"/>
      <c r="T13" s="79"/>
      <c r="U13" s="79"/>
      <c r="V13" s="80"/>
    </row>
    <row r="14" spans="1:22">
      <c r="A14" s="84" t="s">
        <v>330</v>
      </c>
      <c r="B14" s="76">
        <v>2.0299999999999998</v>
      </c>
      <c r="C14" s="76"/>
      <c r="D14" s="76"/>
      <c r="E14" s="76">
        <v>2.16</v>
      </c>
      <c r="F14" s="76">
        <v>1.99</v>
      </c>
      <c r="G14" s="76">
        <v>2.1800000000000002</v>
      </c>
      <c r="H14" s="76">
        <v>2.16</v>
      </c>
      <c r="I14" s="76">
        <v>1.86</v>
      </c>
      <c r="J14" s="76">
        <v>1.87</v>
      </c>
      <c r="K14" s="76">
        <v>2.04</v>
      </c>
      <c r="L14" s="76">
        <v>2.04</v>
      </c>
      <c r="M14" s="76">
        <v>2.0499999999999998</v>
      </c>
      <c r="N14" s="76">
        <v>1.91</v>
      </c>
      <c r="O14" s="76">
        <v>1.82</v>
      </c>
      <c r="P14" s="76"/>
      <c r="Q14" s="76"/>
      <c r="R14" s="76"/>
      <c r="S14" s="76"/>
      <c r="T14" s="76"/>
      <c r="U14" s="76"/>
      <c r="V14" s="81"/>
    </row>
    <row r="15" spans="1:22">
      <c r="A15" s="85" t="s">
        <v>331</v>
      </c>
      <c r="B15" s="79">
        <v>0.27</v>
      </c>
      <c r="C15" s="79"/>
      <c r="D15" s="79"/>
      <c r="E15" s="79">
        <v>0.3</v>
      </c>
      <c r="F15" s="79">
        <v>0.32</v>
      </c>
      <c r="G15" s="79">
        <v>0.3</v>
      </c>
      <c r="H15" s="79">
        <v>0.25</v>
      </c>
      <c r="I15" s="79">
        <v>0.26</v>
      </c>
      <c r="J15" s="79">
        <v>0.28999999999999998</v>
      </c>
      <c r="K15" s="79">
        <v>0.27</v>
      </c>
      <c r="L15" s="79">
        <v>0.27</v>
      </c>
      <c r="M15" s="79">
        <v>0.3</v>
      </c>
      <c r="N15" s="79">
        <v>0.31</v>
      </c>
      <c r="O15" s="79">
        <v>0.34</v>
      </c>
      <c r="P15" s="79"/>
      <c r="Q15" s="79"/>
      <c r="R15" s="79"/>
      <c r="S15" s="79"/>
      <c r="T15" s="79"/>
      <c r="U15" s="79"/>
      <c r="V15" s="80"/>
    </row>
    <row r="16" spans="1:22">
      <c r="A16" s="84" t="s">
        <v>332</v>
      </c>
      <c r="B16" s="76">
        <v>1.83</v>
      </c>
      <c r="C16" s="76"/>
      <c r="D16" s="76"/>
      <c r="E16" s="76">
        <v>4.41</v>
      </c>
      <c r="F16" s="76">
        <v>1.1399999999999999</v>
      </c>
      <c r="G16" s="76">
        <v>1.88</v>
      </c>
      <c r="H16" s="76">
        <v>0</v>
      </c>
      <c r="I16" s="76">
        <v>2.5099999999999998</v>
      </c>
      <c r="J16" s="76">
        <v>2.69</v>
      </c>
      <c r="K16" s="76">
        <v>2.3199999999999998</v>
      </c>
      <c r="L16" s="76">
        <v>1.65</v>
      </c>
      <c r="M16" s="76">
        <v>-0.03</v>
      </c>
      <c r="N16" s="76">
        <v>3.16</v>
      </c>
      <c r="O16" s="76">
        <v>5.0999999999999996</v>
      </c>
      <c r="P16" s="76"/>
      <c r="Q16" s="76"/>
      <c r="R16" s="76"/>
      <c r="S16" s="76"/>
      <c r="T16" s="76"/>
      <c r="U16" s="76"/>
      <c r="V16" s="81"/>
    </row>
    <row r="17" spans="1:22">
      <c r="A17" s="85" t="s">
        <v>333</v>
      </c>
      <c r="B17" s="79">
        <v>-0.24</v>
      </c>
      <c r="C17" s="79"/>
      <c r="D17" s="79"/>
      <c r="E17" s="79">
        <v>-0.24</v>
      </c>
      <c r="F17" s="79">
        <v>-0.25</v>
      </c>
      <c r="G17" s="79">
        <v>-0.23</v>
      </c>
      <c r="H17" s="79">
        <v>-0.22</v>
      </c>
      <c r="I17" s="79">
        <v>-0.25</v>
      </c>
      <c r="J17" s="79">
        <v>-0.24</v>
      </c>
      <c r="K17" s="79">
        <v>-0.22</v>
      </c>
      <c r="L17" s="79">
        <v>-0.23</v>
      </c>
      <c r="M17" s="79">
        <v>-0.23</v>
      </c>
      <c r="N17" s="79">
        <v>-0.24</v>
      </c>
      <c r="O17" s="79">
        <v>-0.22</v>
      </c>
      <c r="P17" s="79"/>
      <c r="Q17" s="79"/>
      <c r="R17" s="79"/>
      <c r="S17" s="79"/>
      <c r="T17" s="79"/>
      <c r="U17" s="79"/>
      <c r="V17" s="80"/>
    </row>
    <row r="18" spans="1:22">
      <c r="A18" s="84" t="s">
        <v>334</v>
      </c>
      <c r="B18" s="76">
        <v>4.2300000000000004</v>
      </c>
      <c r="C18" s="76"/>
      <c r="D18" s="76"/>
      <c r="E18" s="76">
        <v>6.95</v>
      </c>
      <c r="F18" s="76">
        <v>3.68</v>
      </c>
      <c r="G18" s="76">
        <v>4.49</v>
      </c>
      <c r="H18" s="76">
        <v>2.4900000000000002</v>
      </c>
      <c r="I18" s="76">
        <v>4.75</v>
      </c>
      <c r="J18" s="76">
        <v>4.9400000000000004</v>
      </c>
      <c r="K18" s="76">
        <v>4.7300000000000004</v>
      </c>
      <c r="L18" s="76">
        <v>4.09</v>
      </c>
      <c r="M18" s="76">
        <v>2.31</v>
      </c>
      <c r="N18" s="76">
        <v>5.36</v>
      </c>
      <c r="O18" s="76">
        <v>7.37</v>
      </c>
      <c r="P18" s="76"/>
      <c r="Q18" s="76"/>
      <c r="R18" s="76"/>
      <c r="S18" s="76"/>
      <c r="T18" s="76"/>
      <c r="U18" s="76"/>
      <c r="V18" s="81"/>
    </row>
    <row r="19" spans="1:22">
      <c r="A19" s="85" t="s">
        <v>335</v>
      </c>
      <c r="B19" s="79">
        <v>22.956067077010299</v>
      </c>
      <c r="C19" s="79"/>
      <c r="D19" s="79"/>
      <c r="E19" s="79">
        <v>23.129580753204301</v>
      </c>
      <c r="F19" s="79">
        <v>23.450412780178301</v>
      </c>
      <c r="G19" s="79">
        <v>23.216953304901999</v>
      </c>
      <c r="H19" s="79">
        <v>23.399272111311799</v>
      </c>
      <c r="I19" s="79">
        <v>23.322407201006399</v>
      </c>
      <c r="J19" s="79">
        <v>23.1800571949627</v>
      </c>
      <c r="K19" s="79">
        <v>23.017637157074699</v>
      </c>
      <c r="L19" s="79">
        <v>23.145681692481102</v>
      </c>
      <c r="M19" s="79">
        <v>23.272651161658501</v>
      </c>
      <c r="N19" s="79">
        <v>23.459174626963001</v>
      </c>
      <c r="O19" s="79">
        <v>23.254600390101</v>
      </c>
      <c r="P19" s="79"/>
      <c r="Q19" s="79"/>
      <c r="R19" s="79"/>
      <c r="S19" s="79"/>
      <c r="T19" s="79"/>
      <c r="U19" s="79"/>
      <c r="V19" s="80"/>
    </row>
    <row r="20" spans="1:22">
      <c r="A20" s="84" t="s">
        <v>336</v>
      </c>
      <c r="B20" s="76">
        <v>1.49</v>
      </c>
      <c r="C20" s="76"/>
      <c r="D20" s="76"/>
      <c r="E20" s="76">
        <v>1.54</v>
      </c>
      <c r="F20" s="76">
        <v>1.58</v>
      </c>
      <c r="G20" s="76">
        <v>1.57</v>
      </c>
      <c r="H20" s="76">
        <v>1.55</v>
      </c>
      <c r="I20" s="76">
        <v>1.54</v>
      </c>
      <c r="J20" s="76">
        <v>1.54</v>
      </c>
      <c r="K20" s="76">
        <v>1.52</v>
      </c>
      <c r="L20" s="76">
        <v>1.54</v>
      </c>
      <c r="M20" s="76">
        <v>1.67</v>
      </c>
      <c r="N20" s="76">
        <v>1.6</v>
      </c>
      <c r="O20" s="76">
        <v>1.81</v>
      </c>
      <c r="P20" s="76"/>
      <c r="Q20" s="76"/>
      <c r="R20" s="76"/>
      <c r="S20" s="76"/>
      <c r="T20" s="76"/>
      <c r="U20" s="76"/>
      <c r="V20" s="81"/>
    </row>
    <row r="21" spans="1:22">
      <c r="A21" s="85" t="s">
        <v>337</v>
      </c>
      <c r="B21" s="79">
        <v>28.67</v>
      </c>
      <c r="C21" s="79"/>
      <c r="D21" s="79"/>
      <c r="E21" s="79">
        <v>31.62</v>
      </c>
      <c r="F21" s="79">
        <v>28.71</v>
      </c>
      <c r="G21" s="79">
        <v>29.27</v>
      </c>
      <c r="H21" s="79">
        <v>27.44</v>
      </c>
      <c r="I21" s="79">
        <v>29.61</v>
      </c>
      <c r="J21" s="79">
        <v>29.66</v>
      </c>
      <c r="K21" s="79">
        <v>29.27</v>
      </c>
      <c r="L21" s="79">
        <v>28.78</v>
      </c>
      <c r="M21" s="79">
        <v>27.25</v>
      </c>
      <c r="N21" s="79">
        <v>30.42</v>
      </c>
      <c r="O21" s="79">
        <v>32.44</v>
      </c>
      <c r="P21" s="79"/>
      <c r="Q21" s="79"/>
      <c r="R21" s="79"/>
      <c r="S21" s="79"/>
      <c r="T21" s="79"/>
      <c r="U21" s="79"/>
      <c r="V21" s="80"/>
    </row>
    <row r="22" spans="1:22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81"/>
    </row>
    <row r="23" spans="1:22">
      <c r="A23" s="85" t="s">
        <v>339</v>
      </c>
      <c r="B23" s="79">
        <v>22662.78</v>
      </c>
      <c r="C23" s="79"/>
      <c r="D23" s="79"/>
      <c r="E23" s="79">
        <v>27593.71</v>
      </c>
      <c r="F23" s="79">
        <v>26191.759999999998</v>
      </c>
      <c r="G23" s="79">
        <v>26815.65</v>
      </c>
      <c r="H23" s="79">
        <v>24934.54</v>
      </c>
      <c r="I23" s="79">
        <v>24344.37</v>
      </c>
      <c r="J23" s="79">
        <v>26820.6</v>
      </c>
      <c r="K23" s="79">
        <v>26916.61</v>
      </c>
      <c r="L23" s="79">
        <v>24934.54</v>
      </c>
      <c r="M23" s="79">
        <v>25806.34</v>
      </c>
      <c r="N23" s="79">
        <v>25177.26</v>
      </c>
      <c r="O23" s="79">
        <v>28672.63</v>
      </c>
      <c r="P23" s="79"/>
      <c r="Q23" s="79"/>
      <c r="R23" s="79"/>
      <c r="S23" s="79"/>
      <c r="T23" s="79"/>
      <c r="U23" s="79"/>
      <c r="V23" s="80"/>
    </row>
    <row r="24" spans="1:22">
      <c r="A24" s="84" t="s">
        <v>340</v>
      </c>
      <c r="B24" s="76">
        <v>163423.51999999999</v>
      </c>
      <c r="C24" s="76"/>
      <c r="D24" s="76"/>
      <c r="E24" s="76">
        <v>32210.33</v>
      </c>
      <c r="F24" s="76">
        <v>26113.29</v>
      </c>
      <c r="G24" s="76">
        <v>131438.10999999999</v>
      </c>
      <c r="H24" s="76">
        <v>16024.19</v>
      </c>
      <c r="I24" s="76">
        <v>32983.339999999997</v>
      </c>
      <c r="J24" s="76">
        <v>32005.51</v>
      </c>
      <c r="K24" s="76">
        <v>31420.82</v>
      </c>
      <c r="L24" s="76">
        <v>131528.07</v>
      </c>
      <c r="M24" s="76">
        <v>17160.919999999998</v>
      </c>
      <c r="N24" s="76">
        <v>37282.839999999997</v>
      </c>
      <c r="O24" s="76">
        <v>32293.46</v>
      </c>
      <c r="P24" s="76"/>
      <c r="Q24" s="76"/>
      <c r="R24" s="76"/>
      <c r="S24" s="76"/>
      <c r="T24" s="76"/>
      <c r="U24" s="76"/>
      <c r="V24" s="81"/>
    </row>
    <row r="25" spans="1:22">
      <c r="A25" s="85" t="s">
        <v>341</v>
      </c>
      <c r="B25" s="79">
        <v>-299.14999999999998</v>
      </c>
      <c r="C25" s="79"/>
      <c r="D25" s="79"/>
      <c r="E25" s="79">
        <v>-111.32</v>
      </c>
      <c r="F25" s="79">
        <v>0</v>
      </c>
      <c r="G25" s="79">
        <v>-145.28</v>
      </c>
      <c r="H25" s="79">
        <v>0</v>
      </c>
      <c r="I25" s="79">
        <v>-523.84</v>
      </c>
      <c r="J25" s="79">
        <v>-1.47</v>
      </c>
      <c r="K25" s="79">
        <v>0</v>
      </c>
      <c r="L25" s="79">
        <v>-525.30999999999995</v>
      </c>
      <c r="M25" s="79">
        <v>0</v>
      </c>
      <c r="N25" s="79">
        <v>-10.75</v>
      </c>
      <c r="O25" s="79">
        <v>0</v>
      </c>
      <c r="P25" s="79"/>
      <c r="Q25" s="79"/>
      <c r="R25" s="79"/>
      <c r="S25" s="79"/>
      <c r="T25" s="79"/>
      <c r="U25" s="79"/>
      <c r="V25" s="80"/>
    </row>
    <row r="26" spans="1:22">
      <c r="A26" s="84" t="s">
        <v>342</v>
      </c>
      <c r="B26" s="76">
        <v>-678.57</v>
      </c>
      <c r="C26" s="76"/>
      <c r="D26" s="76"/>
      <c r="E26" s="76">
        <v>-268.19</v>
      </c>
      <c r="F26" s="76">
        <v>0</v>
      </c>
      <c r="G26" s="76">
        <v>-268.19</v>
      </c>
      <c r="H26" s="76">
        <v>-214.56</v>
      </c>
      <c r="I26" s="76">
        <v>-214.56</v>
      </c>
      <c r="J26" s="76">
        <v>0</v>
      </c>
      <c r="K26" s="76">
        <v>-162.30000000000001</v>
      </c>
      <c r="L26" s="76">
        <v>-343.68</v>
      </c>
      <c r="M26" s="76">
        <v>-31.38</v>
      </c>
      <c r="N26" s="76">
        <v>-143.41</v>
      </c>
      <c r="O26" s="76">
        <v>0</v>
      </c>
      <c r="P26" s="76"/>
      <c r="Q26" s="76"/>
      <c r="R26" s="76"/>
      <c r="S26" s="76"/>
      <c r="T26" s="76"/>
      <c r="U26" s="76"/>
      <c r="V26" s="81"/>
    </row>
    <row r="27" spans="1:22">
      <c r="A27" s="85" t="s">
        <v>343</v>
      </c>
      <c r="B27" s="79">
        <v>3655.64</v>
      </c>
      <c r="C27" s="79"/>
      <c r="D27" s="79"/>
      <c r="E27" s="79">
        <v>955.76</v>
      </c>
      <c r="F27" s="79">
        <v>792.16</v>
      </c>
      <c r="G27" s="79">
        <v>3581.09</v>
      </c>
      <c r="H27" s="79">
        <v>595.41</v>
      </c>
      <c r="I27" s="79">
        <v>871.67</v>
      </c>
      <c r="J27" s="79">
        <v>838.19</v>
      </c>
      <c r="K27" s="79">
        <v>925.03</v>
      </c>
      <c r="L27" s="79">
        <v>3155.26</v>
      </c>
      <c r="M27" s="79">
        <v>563.88</v>
      </c>
      <c r="N27" s="79">
        <v>817.9</v>
      </c>
      <c r="O27" s="79">
        <v>711.82</v>
      </c>
      <c r="P27" s="79"/>
      <c r="Q27" s="79"/>
      <c r="R27" s="79"/>
      <c r="S27" s="79"/>
      <c r="T27" s="79"/>
      <c r="U27" s="79"/>
      <c r="V27" s="80"/>
    </row>
    <row r="28" spans="1:22">
      <c r="A28" s="84" t="s">
        <v>344</v>
      </c>
      <c r="B28" s="76">
        <v>26815.65</v>
      </c>
      <c r="C28" s="76"/>
      <c r="D28" s="76"/>
      <c r="E28" s="76">
        <v>20739.990000000002</v>
      </c>
      <c r="F28" s="76">
        <v>24295.67</v>
      </c>
      <c r="G28" s="76">
        <v>24934.54</v>
      </c>
      <c r="H28" s="76">
        <v>19923.55</v>
      </c>
      <c r="I28" s="76">
        <v>19685.91</v>
      </c>
      <c r="J28" s="76">
        <v>22523.46</v>
      </c>
      <c r="K28" s="76">
        <v>18481.43</v>
      </c>
      <c r="L28" s="76">
        <v>25806.34</v>
      </c>
      <c r="M28" s="76">
        <v>20383.53</v>
      </c>
      <c r="N28" s="76">
        <v>21128.28</v>
      </c>
      <c r="O28" s="76">
        <v>19246.18</v>
      </c>
      <c r="P28" s="76"/>
      <c r="Q28" s="76"/>
      <c r="R28" s="76"/>
      <c r="S28" s="76"/>
      <c r="T28" s="76"/>
      <c r="U28" s="76"/>
      <c r="V28" s="81"/>
    </row>
    <row r="29" spans="1:22">
      <c r="A29" s="85" t="s">
        <v>345</v>
      </c>
      <c r="B29" s="79">
        <v>154637.28</v>
      </c>
      <c r="C29" s="79"/>
      <c r="D29" s="79"/>
      <c r="E29" s="79">
        <v>37728.78</v>
      </c>
      <c r="F29" s="79">
        <v>27217.23</v>
      </c>
      <c r="G29" s="79">
        <v>129324.65</v>
      </c>
      <c r="H29" s="79">
        <v>20225.22</v>
      </c>
      <c r="I29" s="79">
        <v>36031.74</v>
      </c>
      <c r="J29" s="79">
        <v>35462.99</v>
      </c>
      <c r="K29" s="79">
        <v>38768.67</v>
      </c>
      <c r="L29" s="79">
        <v>126632.02</v>
      </c>
      <c r="M29" s="79">
        <v>21988.48</v>
      </c>
      <c r="N29" s="79">
        <v>40359.760000000002</v>
      </c>
      <c r="O29" s="79">
        <v>41008.089999999997</v>
      </c>
      <c r="P29" s="79"/>
      <c r="Q29" s="79"/>
      <c r="R29" s="79"/>
      <c r="S29" s="79"/>
      <c r="T29" s="79"/>
      <c r="U29" s="79"/>
      <c r="V29" s="80"/>
    </row>
    <row r="30" spans="1:22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81"/>
    </row>
    <row r="31" spans="1:22">
      <c r="A31" s="85" t="s">
        <v>339</v>
      </c>
      <c r="B31" s="79">
        <v>7378.24</v>
      </c>
      <c r="C31" s="79"/>
      <c r="D31" s="79"/>
      <c r="E31" s="79">
        <v>7184.17</v>
      </c>
      <c r="F31" s="79">
        <v>7441.79</v>
      </c>
      <c r="G31" s="79">
        <v>6463.26</v>
      </c>
      <c r="H31" s="79">
        <v>6271.11</v>
      </c>
      <c r="I31" s="79">
        <v>6207</v>
      </c>
      <c r="J31" s="79">
        <v>6903.44</v>
      </c>
      <c r="K31" s="79">
        <v>7986.08</v>
      </c>
      <c r="L31" s="79">
        <v>6271.11</v>
      </c>
      <c r="M31" s="79">
        <v>6295.61</v>
      </c>
      <c r="N31" s="79">
        <v>6549.41</v>
      </c>
      <c r="O31" s="79">
        <v>7149.62</v>
      </c>
      <c r="P31" s="79"/>
      <c r="Q31" s="79"/>
      <c r="R31" s="79"/>
      <c r="S31" s="79"/>
      <c r="T31" s="79"/>
      <c r="U31" s="79"/>
      <c r="V31" s="80"/>
    </row>
    <row r="32" spans="1:22">
      <c r="A32" s="84" t="s">
        <v>340</v>
      </c>
      <c r="B32" s="76">
        <v>21116.02</v>
      </c>
      <c r="C32" s="76"/>
      <c r="D32" s="76"/>
      <c r="E32" s="76">
        <v>3797.79</v>
      </c>
      <c r="F32" s="76">
        <v>3601.84</v>
      </c>
      <c r="G32" s="76">
        <v>17048.5</v>
      </c>
      <c r="H32" s="76">
        <v>1983.08</v>
      </c>
      <c r="I32" s="76">
        <v>4428.38</v>
      </c>
      <c r="J32" s="76">
        <v>4722.2</v>
      </c>
      <c r="K32" s="76">
        <v>4282.01</v>
      </c>
      <c r="L32" s="76">
        <v>17959.12</v>
      </c>
      <c r="M32" s="76">
        <v>2372.7199999999998</v>
      </c>
      <c r="N32" s="76">
        <v>4675.1000000000004</v>
      </c>
      <c r="O32" s="76">
        <v>4205.3100000000004</v>
      </c>
      <c r="P32" s="76"/>
      <c r="Q32" s="76"/>
      <c r="R32" s="76"/>
      <c r="S32" s="76"/>
      <c r="T32" s="76"/>
      <c r="U32" s="76"/>
      <c r="V32" s="81"/>
    </row>
    <row r="33" spans="1:22">
      <c r="A33" s="85" t="s">
        <v>341</v>
      </c>
      <c r="B33" s="79">
        <v>0</v>
      </c>
      <c r="C33" s="79"/>
      <c r="D33" s="79"/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/>
      <c r="Q33" s="79"/>
      <c r="R33" s="79"/>
      <c r="S33" s="79"/>
      <c r="T33" s="79"/>
      <c r="U33" s="79"/>
      <c r="V33" s="80"/>
    </row>
    <row r="34" spans="1:22">
      <c r="A34" s="84" t="s">
        <v>342</v>
      </c>
      <c r="B34" s="76">
        <v>-26.26</v>
      </c>
      <c r="C34" s="76"/>
      <c r="D34" s="76"/>
      <c r="E34" s="76">
        <v>0</v>
      </c>
      <c r="F34" s="76">
        <v>0</v>
      </c>
      <c r="G34" s="76">
        <v>0</v>
      </c>
      <c r="H34" s="76">
        <v>0</v>
      </c>
      <c r="I34" s="76">
        <v>-8.52</v>
      </c>
      <c r="J34" s="76">
        <v>0</v>
      </c>
      <c r="K34" s="76">
        <v>0</v>
      </c>
      <c r="L34" s="76">
        <v>-8.52</v>
      </c>
      <c r="M34" s="76">
        <v>0</v>
      </c>
      <c r="N34" s="76">
        <v>-17.09</v>
      </c>
      <c r="O34" s="76">
        <v>0</v>
      </c>
      <c r="P34" s="76"/>
      <c r="Q34" s="76"/>
      <c r="R34" s="76"/>
      <c r="S34" s="76"/>
      <c r="T34" s="76"/>
      <c r="U34" s="76"/>
      <c r="V34" s="81"/>
    </row>
    <row r="35" spans="1:22">
      <c r="A35" s="85" t="s">
        <v>343</v>
      </c>
      <c r="B35" s="79">
        <v>275.11</v>
      </c>
      <c r="C35" s="79"/>
      <c r="D35" s="79"/>
      <c r="E35" s="79">
        <v>67.7</v>
      </c>
      <c r="F35" s="79">
        <v>55.99</v>
      </c>
      <c r="G35" s="79">
        <v>251.28</v>
      </c>
      <c r="H35" s="79">
        <v>42.26</v>
      </c>
      <c r="I35" s="79">
        <v>61.78</v>
      </c>
      <c r="J35" s="79">
        <v>61.61</v>
      </c>
      <c r="K35" s="79">
        <v>66.569999999999993</v>
      </c>
      <c r="L35" s="79">
        <v>227.14</v>
      </c>
      <c r="M35" s="79">
        <v>40.57</v>
      </c>
      <c r="N35" s="79">
        <v>58.44</v>
      </c>
      <c r="O35" s="79">
        <v>56.05</v>
      </c>
      <c r="P35" s="79"/>
      <c r="Q35" s="79"/>
      <c r="R35" s="79"/>
      <c r="S35" s="79"/>
      <c r="T35" s="79"/>
      <c r="U35" s="79"/>
      <c r="V35" s="80"/>
    </row>
    <row r="36" spans="1:22">
      <c r="A36" s="84" t="s">
        <v>344</v>
      </c>
      <c r="B36" s="76">
        <v>6463.26</v>
      </c>
      <c r="C36" s="76"/>
      <c r="D36" s="76"/>
      <c r="E36" s="76">
        <v>6886.88</v>
      </c>
      <c r="F36" s="76">
        <v>7753.36</v>
      </c>
      <c r="G36" s="76">
        <v>6271.11</v>
      </c>
      <c r="H36" s="76">
        <v>5681.92</v>
      </c>
      <c r="I36" s="76">
        <v>6371.86</v>
      </c>
      <c r="J36" s="76">
        <v>7450.6</v>
      </c>
      <c r="K36" s="76">
        <v>7611.9</v>
      </c>
      <c r="L36" s="76">
        <v>6295.61</v>
      </c>
      <c r="M36" s="76">
        <v>5958.3</v>
      </c>
      <c r="N36" s="76">
        <v>6816.61</v>
      </c>
      <c r="O36" s="76">
        <v>7337.66</v>
      </c>
      <c r="P36" s="76"/>
      <c r="Q36" s="76"/>
      <c r="R36" s="76"/>
      <c r="S36" s="76"/>
      <c r="T36" s="76"/>
      <c r="U36" s="76"/>
      <c r="V36" s="81"/>
    </row>
    <row r="37" spans="1:22">
      <c r="A37" s="85" t="s">
        <v>345</v>
      </c>
      <c r="B37" s="82">
        <v>21729.64</v>
      </c>
      <c r="C37" s="82"/>
      <c r="D37" s="82"/>
      <c r="E37" s="82">
        <v>4027.38</v>
      </c>
      <c r="F37" s="82">
        <v>3234.29</v>
      </c>
      <c r="G37" s="82">
        <v>16989.37</v>
      </c>
      <c r="H37" s="82">
        <v>2530.0100000000002</v>
      </c>
      <c r="I37" s="82">
        <v>4193.21</v>
      </c>
      <c r="J37" s="82">
        <v>4113.42</v>
      </c>
      <c r="K37" s="82">
        <v>4589.62</v>
      </c>
      <c r="L37" s="82">
        <v>17698.96</v>
      </c>
      <c r="M37" s="82">
        <v>2669.47</v>
      </c>
      <c r="N37" s="82">
        <v>4332.37</v>
      </c>
      <c r="O37" s="82">
        <v>3961.23</v>
      </c>
      <c r="P37" s="82"/>
      <c r="Q37" s="82"/>
      <c r="R37" s="82"/>
      <c r="S37" s="82"/>
      <c r="T37" s="82"/>
      <c r="U37" s="82"/>
      <c r="V37" s="83"/>
    </row>
    <row r="40" spans="1:22">
      <c r="A40" t="s">
        <v>17</v>
      </c>
    </row>
    <row r="41" spans="1:22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2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2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2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2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2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2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2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V8" xr:uid="{00000000-0002-0000-05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V200"/>
  <sheetViews>
    <sheetView zoomScale="120" zoomScaleNormal="120"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2" width="10.83203125" style="28" customWidth="1"/>
  </cols>
  <sheetData>
    <row r="1" spans="1:22">
      <c r="A1" s="54" t="s">
        <v>1</v>
      </c>
      <c r="B1" s="72">
        <v>5985</v>
      </c>
      <c r="C1" s="55" t="s">
        <v>9</v>
      </c>
      <c r="D1" s="74">
        <f>_xlfn.XLOOKUP(B1,'FC-Inv Setup'!A3:A22,'FC-Inv Setup'!I3:I22)</f>
        <v>46092</v>
      </c>
      <c r="E1" s="71"/>
      <c r="F1" s="47" t="s">
        <v>7</v>
      </c>
      <c r="G1" s="47" t="s">
        <v>8</v>
      </c>
      <c r="K1" s="63" t="s">
        <v>126</v>
      </c>
      <c r="L1" s="70" t="s">
        <v>127</v>
      </c>
    </row>
    <row r="2" spans="1:22">
      <c r="A2" s="54" t="s">
        <v>3</v>
      </c>
      <c r="B2" s="73" t="str">
        <f>_xlfn.XLOOKUP(B1,'FC-Inv Setup'!A3:A22,'FC-Inv Setup'!C3:C22)</f>
        <v>Ashley Podroza</v>
      </c>
      <c r="C2" s="54" t="s">
        <v>125</v>
      </c>
      <c r="D2" s="73" t="str">
        <f>_xlfn.XLOOKUP(B1,'FC-Inv Setup'!A3:A22,'FC-Inv Setup'!K3:K22)</f>
        <v>Low</v>
      </c>
    </row>
    <row r="3" spans="1:22">
      <c r="A3" s="54" t="s">
        <v>4</v>
      </c>
      <c r="B3" s="73" t="str">
        <f>_xlfn.XLOOKUP(B1,'FC-Inv Setup'!A3:A22,'FC-Inv Setup'!D3:D22)</f>
        <v>Stacey Hyatt</v>
      </c>
      <c r="D3" s="73"/>
    </row>
    <row r="4" spans="1:22">
      <c r="A4" s="54" t="s">
        <v>124</v>
      </c>
      <c r="B4" s="73" t="str">
        <f>_xlfn.XLOOKUP(B1,'FC-Inv Setup'!A3:A22,'FC-Inv Setup'!E3:E22)</f>
        <v>Scauti/Chas</v>
      </c>
      <c r="D4" s="73"/>
    </row>
    <row r="5" spans="1:22">
      <c r="A5" s="54" t="s">
        <v>10</v>
      </c>
      <c r="B5" s="73" t="str">
        <f>_xlfn.XLOOKUP(B1,'FC-Inv Setup'!A3:A22,'FC-Inv Setup'!J3:J22)</f>
        <v>Tuesday</v>
      </c>
      <c r="D5" s="73"/>
    </row>
    <row r="6" spans="1:22">
      <c r="C6" s="28" t="s">
        <v>312</v>
      </c>
      <c r="D6" s="28" t="s">
        <v>312</v>
      </c>
    </row>
    <row r="7" spans="1:22" s="2" customFormat="1">
      <c r="A7" s="45" t="s">
        <v>313</v>
      </c>
      <c r="B7" s="86">
        <v>46028</v>
      </c>
      <c r="C7" s="86">
        <v>46035</v>
      </c>
      <c r="D7" s="86">
        <v>46042</v>
      </c>
      <c r="E7" s="86">
        <v>46049</v>
      </c>
      <c r="F7" s="75" t="s">
        <v>315</v>
      </c>
      <c r="G7" s="75">
        <v>46056</v>
      </c>
      <c r="H7" s="75">
        <v>46063</v>
      </c>
      <c r="I7" s="75">
        <v>46070</v>
      </c>
      <c r="J7" s="75">
        <v>46077</v>
      </c>
      <c r="K7" s="75" t="s">
        <v>316</v>
      </c>
      <c r="L7" s="75">
        <v>46084</v>
      </c>
      <c r="M7" s="75">
        <v>46091</v>
      </c>
      <c r="N7" s="75">
        <v>46098</v>
      </c>
      <c r="O7" s="75">
        <v>46105</v>
      </c>
      <c r="P7" s="75" t="s">
        <v>317</v>
      </c>
      <c r="Q7" s="75" t="s">
        <v>318</v>
      </c>
      <c r="R7" s="75" t="s">
        <v>319</v>
      </c>
      <c r="S7" s="75" t="s">
        <v>320</v>
      </c>
      <c r="T7" s="75" t="s">
        <v>321</v>
      </c>
      <c r="U7" s="87" t="s">
        <v>322</v>
      </c>
      <c r="V7" s="87" t="s">
        <v>322</v>
      </c>
    </row>
    <row r="8" spans="1:22">
      <c r="A8" s="84" t="s">
        <v>323</v>
      </c>
      <c r="B8" s="76" t="s">
        <v>324</v>
      </c>
      <c r="C8" s="76"/>
      <c r="D8" s="76" t="s">
        <v>10</v>
      </c>
      <c r="E8" s="76" t="s">
        <v>10</v>
      </c>
      <c r="F8" s="76" t="s">
        <v>324</v>
      </c>
      <c r="G8" s="76" t="s">
        <v>10</v>
      </c>
      <c r="H8" s="76" t="s">
        <v>10</v>
      </c>
      <c r="I8" s="76" t="s">
        <v>10</v>
      </c>
      <c r="J8" s="76" t="s">
        <v>10</v>
      </c>
      <c r="K8" s="76" t="s">
        <v>324</v>
      </c>
      <c r="L8" s="76" t="s">
        <v>10</v>
      </c>
      <c r="M8" s="76" t="s">
        <v>10</v>
      </c>
      <c r="N8" s="76" t="s">
        <v>10</v>
      </c>
      <c r="O8" s="76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8" t="s">
        <v>324</v>
      </c>
    </row>
    <row r="9" spans="1:22">
      <c r="A9" s="85" t="s">
        <v>325</v>
      </c>
      <c r="B9" s="79">
        <v>685205.85</v>
      </c>
      <c r="C9" s="79"/>
      <c r="D9" s="79">
        <v>157775.99</v>
      </c>
      <c r="E9" s="79">
        <v>116072.71</v>
      </c>
      <c r="F9" s="79">
        <v>583890.47</v>
      </c>
      <c r="G9" s="79">
        <v>57025.52</v>
      </c>
      <c r="H9" s="79">
        <v>163915.20000000001</v>
      </c>
      <c r="I9" s="79">
        <v>161461.66</v>
      </c>
      <c r="J9" s="79">
        <v>168899.57</v>
      </c>
      <c r="K9" s="79">
        <v>588965.17000000004</v>
      </c>
      <c r="L9" s="79">
        <v>64600.21</v>
      </c>
      <c r="M9" s="79">
        <v>167456.26999999999</v>
      </c>
      <c r="N9" s="79">
        <v>170727.12</v>
      </c>
      <c r="O9" s="79">
        <v>164917.45000000001</v>
      </c>
      <c r="P9" s="79"/>
      <c r="Q9" s="79"/>
      <c r="R9" s="79"/>
      <c r="S9" s="79"/>
      <c r="T9" s="79"/>
      <c r="U9" s="79"/>
      <c r="V9" s="80"/>
    </row>
    <row r="10" spans="1:22">
      <c r="A10" s="84" t="s">
        <v>326</v>
      </c>
      <c r="B10" s="76">
        <v>3.78</v>
      </c>
      <c r="C10" s="76"/>
      <c r="D10" s="76">
        <v>3.41</v>
      </c>
      <c r="E10" s="76">
        <v>3.38</v>
      </c>
      <c r="F10" s="76">
        <v>3.87</v>
      </c>
      <c r="G10" s="76">
        <v>3.4</v>
      </c>
      <c r="H10" s="76">
        <v>3.37</v>
      </c>
      <c r="I10" s="76">
        <v>3.35</v>
      </c>
      <c r="J10" s="76">
        <v>3.46</v>
      </c>
      <c r="K10" s="76">
        <v>3.91</v>
      </c>
      <c r="L10" s="76">
        <v>3.19</v>
      </c>
      <c r="M10" s="76">
        <v>3.3</v>
      </c>
      <c r="N10" s="76">
        <v>5.22</v>
      </c>
      <c r="O10" s="76">
        <v>3.39</v>
      </c>
      <c r="P10" s="76"/>
      <c r="Q10" s="76"/>
      <c r="R10" s="76"/>
      <c r="S10" s="76"/>
      <c r="T10" s="76"/>
      <c r="U10" s="76"/>
      <c r="V10" s="81"/>
    </row>
    <row r="11" spans="1:22">
      <c r="A11" s="85" t="s">
        <v>327</v>
      </c>
      <c r="B11" s="79">
        <v>25892.1</v>
      </c>
      <c r="C11" s="79"/>
      <c r="D11" s="79">
        <v>5381.72</v>
      </c>
      <c r="E11" s="79">
        <v>3922.02</v>
      </c>
      <c r="F11" s="79">
        <v>22604.46</v>
      </c>
      <c r="G11" s="79">
        <v>1937.02</v>
      </c>
      <c r="H11" s="79">
        <v>5522.94</v>
      </c>
      <c r="I11" s="79">
        <v>5411.79</v>
      </c>
      <c r="J11" s="79">
        <v>5840.02</v>
      </c>
      <c r="K11" s="79">
        <v>23021.26</v>
      </c>
      <c r="L11" s="79">
        <v>2062</v>
      </c>
      <c r="M11" s="79">
        <v>5528.16</v>
      </c>
      <c r="N11" s="79">
        <v>8909.67</v>
      </c>
      <c r="O11" s="79">
        <v>5580.4</v>
      </c>
      <c r="P11" s="79"/>
      <c r="Q11" s="79"/>
      <c r="R11" s="79"/>
      <c r="S11" s="79"/>
      <c r="T11" s="79"/>
      <c r="U11" s="79"/>
      <c r="V11" s="80"/>
    </row>
    <row r="12" spans="1:22">
      <c r="A12" s="84" t="s">
        <v>328</v>
      </c>
      <c r="B12" s="76">
        <v>0.1</v>
      </c>
      <c r="C12" s="76"/>
      <c r="D12" s="76">
        <v>0.12</v>
      </c>
      <c r="E12" s="76">
        <v>0.08</v>
      </c>
      <c r="F12" s="76">
        <v>0.09</v>
      </c>
      <c r="G12" s="76">
        <v>0.03</v>
      </c>
      <c r="H12" s="76">
        <v>0.08</v>
      </c>
      <c r="I12" s="76">
        <v>0.16</v>
      </c>
      <c r="J12" s="76">
        <v>0.17</v>
      </c>
      <c r="K12" s="76">
        <v>0.13</v>
      </c>
      <c r="L12" s="76">
        <v>0.12</v>
      </c>
      <c r="M12" s="88">
        <v>0.13</v>
      </c>
      <c r="N12" s="76">
        <v>0.16</v>
      </c>
      <c r="O12" s="76">
        <v>0.13</v>
      </c>
      <c r="P12" s="76"/>
      <c r="Q12" s="76"/>
      <c r="R12" s="76"/>
      <c r="S12" s="76"/>
      <c r="T12" s="76"/>
      <c r="U12" s="76"/>
      <c r="V12" s="81"/>
    </row>
    <row r="13" spans="1:22">
      <c r="A13" s="85" t="s">
        <v>329</v>
      </c>
      <c r="B13" s="79">
        <v>0.12</v>
      </c>
      <c r="C13" s="79"/>
      <c r="D13" s="79">
        <v>0.14000000000000001</v>
      </c>
      <c r="E13" s="79">
        <v>0.16</v>
      </c>
      <c r="F13" s="79">
        <v>0.17</v>
      </c>
      <c r="G13" s="79">
        <v>0.14000000000000001</v>
      </c>
      <c r="H13" s="79">
        <v>0.14000000000000001</v>
      </c>
      <c r="I13" s="79">
        <v>0.18</v>
      </c>
      <c r="J13" s="79">
        <v>0.14000000000000001</v>
      </c>
      <c r="K13" s="79">
        <v>0.14000000000000001</v>
      </c>
      <c r="L13" s="79">
        <v>0.33</v>
      </c>
      <c r="M13" s="79">
        <v>0.15</v>
      </c>
      <c r="N13" s="79">
        <v>0.21</v>
      </c>
      <c r="O13" s="79">
        <v>0.19</v>
      </c>
      <c r="P13" s="79"/>
      <c r="Q13" s="79"/>
      <c r="R13" s="79"/>
      <c r="S13" s="79"/>
      <c r="T13" s="79"/>
      <c r="U13" s="79"/>
      <c r="V13" s="80"/>
    </row>
    <row r="14" spans="1:22">
      <c r="A14" s="84" t="s">
        <v>330</v>
      </c>
      <c r="B14" s="76">
        <v>1.75</v>
      </c>
      <c r="C14" s="76"/>
      <c r="D14" s="76">
        <v>1.77</v>
      </c>
      <c r="E14" s="76">
        <v>1.77</v>
      </c>
      <c r="F14" s="76">
        <v>1.84</v>
      </c>
      <c r="G14" s="76">
        <v>1.84</v>
      </c>
      <c r="H14" s="76">
        <v>2.33</v>
      </c>
      <c r="I14" s="76">
        <v>2.14</v>
      </c>
      <c r="J14" s="76">
        <v>2.68</v>
      </c>
      <c r="K14" s="76">
        <v>2.36</v>
      </c>
      <c r="L14" s="76">
        <v>2.31</v>
      </c>
      <c r="M14" s="76">
        <v>2.25</v>
      </c>
      <c r="N14" s="76">
        <v>1.69</v>
      </c>
      <c r="O14" s="76">
        <v>1.73</v>
      </c>
      <c r="P14" s="76"/>
      <c r="Q14" s="76"/>
      <c r="R14" s="76"/>
      <c r="S14" s="76"/>
      <c r="T14" s="76"/>
      <c r="U14" s="76"/>
      <c r="V14" s="81"/>
    </row>
    <row r="15" spans="1:22">
      <c r="A15" s="85" t="s">
        <v>331</v>
      </c>
      <c r="B15" s="79">
        <v>0.17</v>
      </c>
      <c r="C15" s="79"/>
      <c r="D15" s="79">
        <v>0.22</v>
      </c>
      <c r="E15" s="79">
        <v>0.24</v>
      </c>
      <c r="F15" s="79">
        <v>0.2</v>
      </c>
      <c r="G15" s="79">
        <v>0.22</v>
      </c>
      <c r="H15" s="79">
        <v>0.23</v>
      </c>
      <c r="I15" s="79">
        <v>0.27</v>
      </c>
      <c r="J15" s="79">
        <v>0.23</v>
      </c>
      <c r="K15" s="79">
        <v>0.21</v>
      </c>
      <c r="L15" s="79">
        <v>0.27</v>
      </c>
      <c r="M15" s="79">
        <v>0.25</v>
      </c>
      <c r="N15" s="79">
        <v>0.23</v>
      </c>
      <c r="O15" s="79">
        <v>0.23</v>
      </c>
      <c r="P15" s="79"/>
      <c r="Q15" s="79"/>
      <c r="R15" s="79"/>
      <c r="S15" s="79"/>
      <c r="T15" s="79"/>
      <c r="U15" s="79"/>
      <c r="V15" s="80"/>
    </row>
    <row r="16" spans="1:22">
      <c r="A16" s="84" t="s">
        <v>332</v>
      </c>
      <c r="B16" s="76">
        <v>1.71</v>
      </c>
      <c r="C16" s="76"/>
      <c r="D16" s="76">
        <v>3.25</v>
      </c>
      <c r="E16" s="76">
        <v>0.93</v>
      </c>
      <c r="F16" s="76">
        <v>2.0499999999999998</v>
      </c>
      <c r="G16" s="76">
        <v>-0.01</v>
      </c>
      <c r="H16" s="76">
        <v>2.0499999999999998</v>
      </c>
      <c r="I16" s="76">
        <v>1.1200000000000001</v>
      </c>
      <c r="J16" s="76">
        <v>1.39</v>
      </c>
      <c r="K16" s="76">
        <v>1.53</v>
      </c>
      <c r="L16" s="76">
        <v>0</v>
      </c>
      <c r="M16" s="76">
        <v>1.52</v>
      </c>
      <c r="N16" s="76">
        <v>2.4500000000000002</v>
      </c>
      <c r="O16" s="76">
        <v>2.75</v>
      </c>
      <c r="P16" s="76"/>
      <c r="Q16" s="76"/>
      <c r="R16" s="76"/>
      <c r="S16" s="76"/>
      <c r="T16" s="76"/>
      <c r="U16" s="76"/>
      <c r="V16" s="81"/>
    </row>
    <row r="17" spans="1:22">
      <c r="A17" s="85" t="s">
        <v>333</v>
      </c>
      <c r="B17" s="79">
        <v>-0.14000000000000001</v>
      </c>
      <c r="C17" s="79"/>
      <c r="D17" s="79">
        <v>-0.2</v>
      </c>
      <c r="E17" s="79">
        <v>0.19</v>
      </c>
      <c r="F17" s="79">
        <v>-0.17</v>
      </c>
      <c r="G17" s="79">
        <v>-0.12</v>
      </c>
      <c r="H17" s="79">
        <v>-0.11</v>
      </c>
      <c r="I17" s="79">
        <v>-0.17</v>
      </c>
      <c r="J17" s="79">
        <v>-0.16</v>
      </c>
      <c r="K17" s="79">
        <v>-0.15</v>
      </c>
      <c r="L17" s="79">
        <v>-0.16</v>
      </c>
      <c r="M17" s="79">
        <v>-0.16</v>
      </c>
      <c r="N17" s="79">
        <v>-0.15</v>
      </c>
      <c r="O17" s="79">
        <v>-0.13</v>
      </c>
      <c r="P17" s="79"/>
      <c r="Q17" s="79"/>
      <c r="R17" s="79"/>
      <c r="S17" s="79"/>
      <c r="T17" s="79"/>
      <c r="U17" s="79"/>
      <c r="V17" s="80"/>
    </row>
    <row r="18" spans="1:22">
      <c r="A18" s="84" t="s">
        <v>334</v>
      </c>
      <c r="B18" s="76">
        <v>3.71</v>
      </c>
      <c r="C18" s="76"/>
      <c r="D18" s="76">
        <v>5.3</v>
      </c>
      <c r="E18" s="76">
        <v>3.37</v>
      </c>
      <c r="F18" s="76">
        <v>4.18</v>
      </c>
      <c r="G18" s="76">
        <v>2.1</v>
      </c>
      <c r="H18" s="76">
        <v>4.72</v>
      </c>
      <c r="I18" s="76">
        <v>3.7</v>
      </c>
      <c r="J18" s="76">
        <v>4.45</v>
      </c>
      <c r="K18" s="76">
        <v>4.22</v>
      </c>
      <c r="L18" s="76">
        <v>2.87</v>
      </c>
      <c r="M18" s="76">
        <v>4.1399999999999997</v>
      </c>
      <c r="N18" s="76">
        <v>4.59</v>
      </c>
      <c r="O18" s="76">
        <v>4.9000000000000004</v>
      </c>
      <c r="P18" s="76"/>
      <c r="Q18" s="76"/>
      <c r="R18" s="76"/>
      <c r="S18" s="76"/>
      <c r="T18" s="76"/>
      <c r="U18" s="76"/>
      <c r="V18" s="81"/>
    </row>
    <row r="19" spans="1:22">
      <c r="A19" s="85" t="s">
        <v>335</v>
      </c>
      <c r="B19" s="79">
        <v>22.427055089817699</v>
      </c>
      <c r="C19" s="79"/>
      <c r="D19" s="79">
        <v>22.822265690882599</v>
      </c>
      <c r="E19" s="79">
        <v>23.2685383341727</v>
      </c>
      <c r="F19" s="79">
        <v>22.9273291710976</v>
      </c>
      <c r="G19" s="79">
        <v>23.1400696123826</v>
      </c>
      <c r="H19" s="79">
        <v>22.917336851833198</v>
      </c>
      <c r="I19" s="79">
        <v>22.889147438868498</v>
      </c>
      <c r="J19" s="79">
        <v>22.928433077479902</v>
      </c>
      <c r="K19" s="79">
        <v>22.868197599707401</v>
      </c>
      <c r="L19" s="79">
        <v>22.8251415833635</v>
      </c>
      <c r="M19" s="79">
        <v>23.203098538235</v>
      </c>
      <c r="N19" s="79">
        <v>23.168184669333101</v>
      </c>
      <c r="O19" s="79">
        <v>23.0732769972409</v>
      </c>
      <c r="P19" s="79"/>
      <c r="Q19" s="79"/>
      <c r="R19" s="79"/>
      <c r="S19" s="79"/>
      <c r="T19" s="79"/>
      <c r="U19" s="79"/>
      <c r="V19" s="80"/>
    </row>
    <row r="20" spans="1:22">
      <c r="A20" s="84" t="s">
        <v>336</v>
      </c>
      <c r="B20" s="76">
        <v>1.36</v>
      </c>
      <c r="C20" s="76"/>
      <c r="D20" s="76">
        <v>1.42</v>
      </c>
      <c r="E20" s="76">
        <v>1.37</v>
      </c>
      <c r="F20" s="76">
        <v>1.38</v>
      </c>
      <c r="G20" s="76">
        <v>1.37</v>
      </c>
      <c r="H20" s="76">
        <v>1.35</v>
      </c>
      <c r="I20" s="76">
        <v>1.36</v>
      </c>
      <c r="J20" s="76">
        <v>1.43</v>
      </c>
      <c r="K20" s="76">
        <v>1.4</v>
      </c>
      <c r="L20" s="76">
        <v>1.61</v>
      </c>
      <c r="M20" s="76">
        <v>1.54</v>
      </c>
      <c r="N20" s="76">
        <v>1.73</v>
      </c>
      <c r="O20" s="76">
        <v>1.72</v>
      </c>
      <c r="P20" s="76"/>
      <c r="Q20" s="76"/>
      <c r="R20" s="76"/>
      <c r="S20" s="76"/>
      <c r="T20" s="76"/>
      <c r="U20" s="76"/>
      <c r="V20" s="81"/>
    </row>
    <row r="21" spans="1:22">
      <c r="A21" s="85" t="s">
        <v>337</v>
      </c>
      <c r="B21" s="79">
        <v>27.5</v>
      </c>
      <c r="C21" s="79"/>
      <c r="D21" s="79">
        <v>29.54</v>
      </c>
      <c r="E21" s="79">
        <v>28</v>
      </c>
      <c r="F21" s="79">
        <v>28.49</v>
      </c>
      <c r="G21" s="79">
        <v>26.62</v>
      </c>
      <c r="H21" s="79">
        <v>28.98</v>
      </c>
      <c r="I21" s="79">
        <v>27.95</v>
      </c>
      <c r="J21" s="79">
        <v>28.8</v>
      </c>
      <c r="K21" s="79">
        <v>28.49</v>
      </c>
      <c r="L21" s="79">
        <v>27.3</v>
      </c>
      <c r="M21" s="79">
        <v>28.89</v>
      </c>
      <c r="N21" s="79">
        <v>29.49</v>
      </c>
      <c r="O21" s="79">
        <v>29.7</v>
      </c>
      <c r="P21" s="79"/>
      <c r="Q21" s="79"/>
      <c r="R21" s="79"/>
      <c r="S21" s="79"/>
      <c r="T21" s="79"/>
      <c r="U21" s="79"/>
      <c r="V21" s="80"/>
    </row>
    <row r="22" spans="1:22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81"/>
    </row>
    <row r="23" spans="1:22">
      <c r="A23" s="85" t="s">
        <v>339</v>
      </c>
      <c r="B23" s="79">
        <v>37688.65</v>
      </c>
      <c r="C23" s="79"/>
      <c r="D23" s="79">
        <v>37485.31</v>
      </c>
      <c r="E23" s="79">
        <v>35483.56</v>
      </c>
      <c r="F23" s="79">
        <v>41313.01</v>
      </c>
      <c r="G23" s="79">
        <v>26807.94</v>
      </c>
      <c r="H23" s="79">
        <v>34670.31</v>
      </c>
      <c r="I23" s="79">
        <v>28925.83</v>
      </c>
      <c r="J23" s="79">
        <v>31616.560000000001</v>
      </c>
      <c r="K23" s="79">
        <v>26807.94</v>
      </c>
      <c r="L23" s="79">
        <v>21694.52</v>
      </c>
      <c r="M23" s="79">
        <v>31126.39</v>
      </c>
      <c r="N23" s="79">
        <v>34139.71</v>
      </c>
      <c r="O23" s="79">
        <v>33008.129999999997</v>
      </c>
      <c r="P23" s="79"/>
      <c r="Q23" s="79"/>
      <c r="R23" s="79"/>
      <c r="S23" s="79"/>
      <c r="T23" s="79"/>
      <c r="U23" s="79"/>
      <c r="V23" s="80"/>
    </row>
    <row r="24" spans="1:22">
      <c r="A24" s="84" t="s">
        <v>340</v>
      </c>
      <c r="B24" s="76">
        <v>195860.03</v>
      </c>
      <c r="C24" s="76"/>
      <c r="D24" s="76">
        <v>41596.75</v>
      </c>
      <c r="E24" s="76">
        <v>39813.72</v>
      </c>
      <c r="F24" s="76">
        <v>157711.12</v>
      </c>
      <c r="G24" s="76">
        <v>18078.03</v>
      </c>
      <c r="H24" s="76">
        <v>39459.94</v>
      </c>
      <c r="I24" s="76">
        <v>43765.17</v>
      </c>
      <c r="J24" s="76">
        <v>43252.15</v>
      </c>
      <c r="K24" s="76">
        <v>169403.84</v>
      </c>
      <c r="L24" s="76">
        <v>21840.17</v>
      </c>
      <c r="M24" s="76">
        <v>47402.36</v>
      </c>
      <c r="N24" s="76">
        <v>43779.83</v>
      </c>
      <c r="O24" s="76">
        <v>43411.54</v>
      </c>
      <c r="P24" s="76"/>
      <c r="Q24" s="76"/>
      <c r="R24" s="76"/>
      <c r="S24" s="76"/>
      <c r="T24" s="76"/>
      <c r="U24" s="76"/>
      <c r="V24" s="81"/>
    </row>
    <row r="25" spans="1:22">
      <c r="A25" s="85" t="s">
        <v>341</v>
      </c>
      <c r="B25" s="79">
        <v>-527.80999999999995</v>
      </c>
      <c r="C25" s="79"/>
      <c r="D25" s="79">
        <v>-615.64</v>
      </c>
      <c r="E25" s="79">
        <v>0</v>
      </c>
      <c r="F25" s="79">
        <v>-615.64</v>
      </c>
      <c r="G25" s="79">
        <v>0</v>
      </c>
      <c r="H25" s="79">
        <v>0</v>
      </c>
      <c r="I25" s="79">
        <v>-9.4</v>
      </c>
      <c r="J25" s="79">
        <v>0</v>
      </c>
      <c r="K25" s="79">
        <v>-15.29</v>
      </c>
      <c r="L25" s="79">
        <v>-2.35</v>
      </c>
      <c r="M25" s="79">
        <v>-248.45</v>
      </c>
      <c r="N25" s="79">
        <v>0</v>
      </c>
      <c r="O25" s="79">
        <v>0</v>
      </c>
      <c r="P25" s="79"/>
      <c r="Q25" s="79"/>
      <c r="R25" s="79"/>
      <c r="S25" s="79"/>
      <c r="T25" s="79"/>
      <c r="U25" s="79"/>
      <c r="V25" s="80"/>
    </row>
    <row r="26" spans="1:22">
      <c r="A26" s="84" t="s">
        <v>342</v>
      </c>
      <c r="B26" s="76">
        <v>1445.72</v>
      </c>
      <c r="C26" s="76"/>
      <c r="D26" s="76">
        <v>0</v>
      </c>
      <c r="E26" s="76">
        <v>0</v>
      </c>
      <c r="F26" s="76">
        <v>-29.35</v>
      </c>
      <c r="G26" s="76">
        <v>-73.849999999999994</v>
      </c>
      <c r="H26" s="76">
        <v>-2160.04</v>
      </c>
      <c r="I26" s="76">
        <v>144.83000000000001</v>
      </c>
      <c r="J26" s="76">
        <v>118.71</v>
      </c>
      <c r="K26" s="76">
        <v>-1911.57</v>
      </c>
      <c r="L26" s="76">
        <v>0</v>
      </c>
      <c r="M26" s="76">
        <v>208.32</v>
      </c>
      <c r="N26" s="76">
        <v>726.2</v>
      </c>
      <c r="O26" s="76">
        <v>-214.9</v>
      </c>
      <c r="P26" s="76"/>
      <c r="Q26" s="76"/>
      <c r="R26" s="76"/>
      <c r="S26" s="76"/>
      <c r="T26" s="76"/>
      <c r="U26" s="76"/>
      <c r="V26" s="81"/>
    </row>
    <row r="27" spans="1:22">
      <c r="A27" s="85" t="s">
        <v>343</v>
      </c>
      <c r="B27" s="79">
        <v>4752.7</v>
      </c>
      <c r="C27" s="79"/>
      <c r="D27" s="79">
        <v>1455.46</v>
      </c>
      <c r="E27" s="79">
        <v>1046.8399999999999</v>
      </c>
      <c r="F27" s="79">
        <v>5197.1499999999996</v>
      </c>
      <c r="G27" s="79">
        <v>540.83000000000004</v>
      </c>
      <c r="H27" s="79">
        <v>1623.76</v>
      </c>
      <c r="I27" s="79">
        <v>1164.6300000000001</v>
      </c>
      <c r="J27" s="79">
        <v>1374.22</v>
      </c>
      <c r="K27" s="79">
        <v>4816.29</v>
      </c>
      <c r="L27" s="79">
        <v>418.19</v>
      </c>
      <c r="M27" s="79">
        <v>1126.8499999999999</v>
      </c>
      <c r="N27" s="79">
        <v>1072.19</v>
      </c>
      <c r="O27" s="79">
        <v>1022.15</v>
      </c>
      <c r="P27" s="79"/>
      <c r="Q27" s="79"/>
      <c r="R27" s="79"/>
      <c r="S27" s="79"/>
      <c r="T27" s="79"/>
      <c r="U27" s="79"/>
      <c r="V27" s="80"/>
    </row>
    <row r="28" spans="1:22">
      <c r="A28" s="84" t="s">
        <v>344</v>
      </c>
      <c r="B28" s="76">
        <v>41313.01</v>
      </c>
      <c r="C28" s="76"/>
      <c r="D28" s="76">
        <v>30398.09</v>
      </c>
      <c r="E28" s="76">
        <v>41744.550000000003</v>
      </c>
      <c r="F28" s="76">
        <v>26807.94</v>
      </c>
      <c r="G28" s="76">
        <v>29093.89</v>
      </c>
      <c r="H28" s="76">
        <v>22838.91</v>
      </c>
      <c r="I28" s="76">
        <v>26539.62</v>
      </c>
      <c r="J28" s="76">
        <v>24966.05</v>
      </c>
      <c r="K28" s="76">
        <v>21694.52</v>
      </c>
      <c r="L28" s="76">
        <v>25478.89</v>
      </c>
      <c r="M28" s="76">
        <v>28991.13</v>
      </c>
      <c r="N28" s="76">
        <v>27224.78</v>
      </c>
      <c r="O28" s="76">
        <v>26207.01</v>
      </c>
      <c r="P28" s="76"/>
      <c r="Q28" s="76"/>
      <c r="R28" s="76"/>
      <c r="S28" s="76"/>
      <c r="T28" s="76"/>
      <c r="U28" s="76"/>
      <c r="V28" s="81"/>
    </row>
    <row r="29" spans="1:22">
      <c r="A29" s="85" t="s">
        <v>345</v>
      </c>
      <c r="B29" s="79">
        <v>188400.88</v>
      </c>
      <c r="C29" s="79"/>
      <c r="D29" s="79">
        <v>46612.86</v>
      </c>
      <c r="E29" s="79">
        <v>32505.88</v>
      </c>
      <c r="F29" s="79">
        <v>166374.04</v>
      </c>
      <c r="G29" s="79">
        <v>15177.41</v>
      </c>
      <c r="H29" s="79">
        <v>47507.54</v>
      </c>
      <c r="I29" s="79">
        <v>45122.17</v>
      </c>
      <c r="J29" s="79">
        <v>48647.15</v>
      </c>
      <c r="K29" s="79">
        <v>167774.11</v>
      </c>
      <c r="L29" s="79">
        <v>17635.259999999998</v>
      </c>
      <c r="M29" s="79">
        <v>48370.64</v>
      </c>
      <c r="N29" s="79">
        <v>50348.78</v>
      </c>
      <c r="O29" s="79">
        <v>48975.61</v>
      </c>
      <c r="P29" s="79"/>
      <c r="Q29" s="79"/>
      <c r="R29" s="79"/>
      <c r="S29" s="79"/>
      <c r="T29" s="79"/>
      <c r="U29" s="79"/>
      <c r="V29" s="80"/>
    </row>
    <row r="30" spans="1:22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81"/>
    </row>
    <row r="31" spans="1:22">
      <c r="A31" s="85" t="s">
        <v>339</v>
      </c>
      <c r="B31" s="79">
        <v>9283.7999999999993</v>
      </c>
      <c r="C31" s="79"/>
      <c r="D31" s="79">
        <v>10827.4</v>
      </c>
      <c r="E31" s="79">
        <v>11046.25</v>
      </c>
      <c r="F31" s="79">
        <v>11887.84</v>
      </c>
      <c r="G31" s="79">
        <v>8660.56</v>
      </c>
      <c r="H31" s="79">
        <v>9154.6</v>
      </c>
      <c r="I31" s="79">
        <v>8936.35</v>
      </c>
      <c r="J31" s="79">
        <v>9421.4699999999993</v>
      </c>
      <c r="K31" s="79">
        <v>8660.56</v>
      </c>
      <c r="L31" s="79">
        <v>6926.53</v>
      </c>
      <c r="M31" s="79">
        <v>8401.2000000000007</v>
      </c>
      <c r="N31" s="79">
        <v>9835.84</v>
      </c>
      <c r="O31" s="79">
        <v>6889.41</v>
      </c>
      <c r="P31" s="79"/>
      <c r="Q31" s="79"/>
      <c r="R31" s="79"/>
      <c r="S31" s="79"/>
      <c r="T31" s="79"/>
      <c r="U31" s="79"/>
      <c r="V31" s="80"/>
    </row>
    <row r="32" spans="1:22">
      <c r="A32" s="84" t="s">
        <v>340</v>
      </c>
      <c r="B32" s="76">
        <v>28505.49</v>
      </c>
      <c r="C32" s="76"/>
      <c r="D32" s="76">
        <v>5039.63</v>
      </c>
      <c r="E32" s="76">
        <v>4616.1499999999996</v>
      </c>
      <c r="F32" s="76">
        <v>19786.61</v>
      </c>
      <c r="G32" s="76">
        <v>1775.17</v>
      </c>
      <c r="H32" s="76">
        <v>4775.45</v>
      </c>
      <c r="I32" s="76">
        <v>5343.93</v>
      </c>
      <c r="J32" s="76">
        <v>6388.59</v>
      </c>
      <c r="K32" s="76">
        <v>21659.64</v>
      </c>
      <c r="L32" s="76">
        <v>2914.37</v>
      </c>
      <c r="M32" s="76">
        <v>6431.05</v>
      </c>
      <c r="N32" s="76">
        <v>5323.4</v>
      </c>
      <c r="O32" s="76">
        <v>7011.96</v>
      </c>
      <c r="P32" s="76"/>
      <c r="Q32" s="76"/>
      <c r="R32" s="76"/>
      <c r="S32" s="76"/>
      <c r="T32" s="76"/>
      <c r="U32" s="76"/>
      <c r="V32" s="81"/>
    </row>
    <row r="33" spans="1:22">
      <c r="A33" s="85" t="s">
        <v>341</v>
      </c>
      <c r="B33" s="79">
        <v>0</v>
      </c>
      <c r="C33" s="79"/>
      <c r="D33" s="79">
        <v>0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/>
      <c r="Q33" s="79"/>
      <c r="R33" s="79"/>
      <c r="S33" s="79"/>
      <c r="T33" s="79"/>
      <c r="U33" s="79"/>
      <c r="V33" s="80"/>
    </row>
    <row r="34" spans="1:22">
      <c r="A34" s="84" t="s">
        <v>342</v>
      </c>
      <c r="B34" s="76">
        <v>320.52999999999997</v>
      </c>
      <c r="C34" s="76"/>
      <c r="D34" s="76">
        <v>0</v>
      </c>
      <c r="E34" s="76">
        <v>0</v>
      </c>
      <c r="F34" s="76">
        <v>-54.36</v>
      </c>
      <c r="G34" s="76">
        <v>-43.93</v>
      </c>
      <c r="H34" s="76">
        <v>-26.19</v>
      </c>
      <c r="I34" s="76">
        <v>9.4</v>
      </c>
      <c r="J34" s="76">
        <v>-39.57</v>
      </c>
      <c r="K34" s="76">
        <v>-56.35</v>
      </c>
      <c r="L34" s="76">
        <v>0</v>
      </c>
      <c r="M34" s="76">
        <v>4.17</v>
      </c>
      <c r="N34" s="76">
        <v>0</v>
      </c>
      <c r="O34" s="76">
        <v>-22.03</v>
      </c>
      <c r="P34" s="76"/>
      <c r="Q34" s="76"/>
      <c r="R34" s="76"/>
      <c r="S34" s="76"/>
      <c r="T34" s="76"/>
      <c r="U34" s="76"/>
      <c r="V34" s="81"/>
    </row>
    <row r="35" spans="1:22">
      <c r="A35" s="85" t="s">
        <v>343</v>
      </c>
      <c r="B35" s="79">
        <v>329.89</v>
      </c>
      <c r="C35" s="79"/>
      <c r="D35" s="79">
        <v>100.65</v>
      </c>
      <c r="E35" s="79">
        <v>71.09</v>
      </c>
      <c r="F35" s="79">
        <v>355.07</v>
      </c>
      <c r="G35" s="79">
        <v>38.39</v>
      </c>
      <c r="H35" s="79">
        <v>105.51</v>
      </c>
      <c r="I35" s="79">
        <v>78.33</v>
      </c>
      <c r="J35" s="79">
        <v>86.8</v>
      </c>
      <c r="K35" s="79">
        <v>316.06</v>
      </c>
      <c r="L35" s="79">
        <v>27.78</v>
      </c>
      <c r="M35" s="79">
        <v>78.95</v>
      </c>
      <c r="N35" s="79">
        <v>76.97</v>
      </c>
      <c r="O35" s="79">
        <v>73.64</v>
      </c>
      <c r="P35" s="79"/>
      <c r="Q35" s="79"/>
      <c r="R35" s="79"/>
      <c r="S35" s="79"/>
      <c r="T35" s="79"/>
      <c r="U35" s="79"/>
      <c r="V35" s="80"/>
    </row>
    <row r="36" spans="1:22">
      <c r="A36" s="84" t="s">
        <v>344</v>
      </c>
      <c r="B36" s="76">
        <v>11887.84</v>
      </c>
      <c r="C36" s="76"/>
      <c r="D36" s="76">
        <v>10384.66</v>
      </c>
      <c r="E36" s="76">
        <v>11669.29</v>
      </c>
      <c r="F36" s="76">
        <v>8660.56</v>
      </c>
      <c r="G36" s="76">
        <v>8416.4</v>
      </c>
      <c r="H36" s="76">
        <v>8275.41</v>
      </c>
      <c r="I36" s="76">
        <v>8799.56</v>
      </c>
      <c r="J36" s="76">
        <v>9843.67</v>
      </c>
      <c r="K36" s="76">
        <v>6926.53</v>
      </c>
      <c r="L36" s="76">
        <v>7751.12</v>
      </c>
      <c r="M36" s="76">
        <v>9229.31</v>
      </c>
      <c r="N36" s="76">
        <v>6172.6</v>
      </c>
      <c r="O36" s="76">
        <v>8221.31</v>
      </c>
      <c r="P36" s="76"/>
      <c r="Q36" s="76"/>
      <c r="R36" s="76"/>
      <c r="S36" s="76"/>
      <c r="T36" s="76"/>
      <c r="U36" s="76"/>
      <c r="V36" s="81"/>
    </row>
    <row r="37" spans="1:22">
      <c r="A37" s="85" t="s">
        <v>345</v>
      </c>
      <c r="B37" s="82">
        <v>25892.1</v>
      </c>
      <c r="C37" s="82"/>
      <c r="D37" s="82">
        <v>5381.72</v>
      </c>
      <c r="E37" s="82">
        <v>3922.02</v>
      </c>
      <c r="F37" s="82"/>
      <c r="G37" s="82">
        <v>1937.02</v>
      </c>
      <c r="H37" s="82">
        <v>5522.94</v>
      </c>
      <c r="I37" s="82">
        <v>5411.79</v>
      </c>
      <c r="J37" s="82">
        <v>5840.02</v>
      </c>
      <c r="K37" s="82"/>
      <c r="L37" s="82">
        <v>2062</v>
      </c>
      <c r="M37" s="82">
        <v>5528.16</v>
      </c>
      <c r="N37" s="82">
        <v>8909.67</v>
      </c>
      <c r="O37" s="82">
        <v>5584.4</v>
      </c>
      <c r="P37" s="82"/>
      <c r="Q37" s="82"/>
      <c r="R37" s="82"/>
      <c r="S37" s="82"/>
      <c r="T37" s="82"/>
      <c r="U37" s="82"/>
      <c r="V37" s="83"/>
    </row>
    <row r="40" spans="1:22">
      <c r="A40" t="s">
        <v>17</v>
      </c>
    </row>
    <row r="41" spans="1:22">
      <c r="B41" s="142"/>
      <c r="C41" s="143"/>
      <c r="D41" s="143"/>
      <c r="E41" s="143"/>
      <c r="F41" s="143"/>
      <c r="G41" s="143"/>
      <c r="H41" s="143"/>
      <c r="I41" s="143"/>
      <c r="J41" s="143"/>
      <c r="K41" s="143"/>
      <c r="L41" s="75" t="s">
        <v>316</v>
      </c>
      <c r="M41" s="75">
        <v>46088</v>
      </c>
      <c r="N41" s="75">
        <v>46095</v>
      </c>
      <c r="O41" s="75">
        <v>46102</v>
      </c>
    </row>
    <row r="42" spans="1:22">
      <c r="B42" s="142"/>
      <c r="C42" s="143"/>
      <c r="D42" s="143"/>
      <c r="E42" s="143"/>
      <c r="F42" s="143"/>
      <c r="G42" s="143"/>
      <c r="H42" s="143"/>
      <c r="I42" s="143"/>
      <c r="J42" s="143"/>
      <c r="K42" s="143"/>
      <c r="L42" s="77" t="s">
        <v>324</v>
      </c>
      <c r="M42" s="77" t="s">
        <v>10</v>
      </c>
      <c r="N42" s="77" t="s">
        <v>10</v>
      </c>
      <c r="O42" s="77" t="s">
        <v>10</v>
      </c>
    </row>
    <row r="43" spans="1:22">
      <c r="B43" s="142"/>
      <c r="C43" s="143"/>
      <c r="D43" s="143"/>
      <c r="E43" s="143"/>
      <c r="F43" s="143"/>
      <c r="G43" s="143"/>
      <c r="H43" s="143"/>
      <c r="I43" s="143"/>
      <c r="J43" s="143"/>
      <c r="K43" s="143"/>
      <c r="L43" s="79">
        <v>588965.17000000004</v>
      </c>
      <c r="M43" s="79">
        <v>155307.49</v>
      </c>
      <c r="N43" s="79">
        <v>171161.79</v>
      </c>
      <c r="O43" s="79">
        <v>172406.38</v>
      </c>
    </row>
    <row r="44" spans="1:22"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76">
        <v>3.91</v>
      </c>
      <c r="M44" s="76">
        <v>3.25</v>
      </c>
      <c r="N44" s="76">
        <v>5.15</v>
      </c>
      <c r="O44" s="76">
        <v>5.23</v>
      </c>
    </row>
    <row r="45" spans="1:22">
      <c r="B45" s="142"/>
      <c r="C45" s="143"/>
      <c r="D45" s="143"/>
      <c r="E45" s="143"/>
      <c r="F45" s="143"/>
      <c r="G45" s="143"/>
      <c r="H45" s="143"/>
      <c r="I45" s="143"/>
      <c r="J45" s="143"/>
      <c r="K45" s="143"/>
      <c r="L45" s="79">
        <v>23021.26</v>
      </c>
      <c r="M45" s="79">
        <v>5047.29</v>
      </c>
      <c r="N45" s="79">
        <v>8811.75</v>
      </c>
      <c r="O45" s="79">
        <v>9015.19</v>
      </c>
    </row>
    <row r="46" spans="1:22">
      <c r="B46" s="142"/>
      <c r="C46" s="143"/>
      <c r="D46" s="143"/>
      <c r="E46" s="143"/>
      <c r="F46" s="143"/>
      <c r="G46" s="143"/>
      <c r="H46" s="143"/>
      <c r="I46" s="143"/>
      <c r="J46" s="143"/>
      <c r="K46" s="143"/>
      <c r="L46" s="76">
        <v>0.13</v>
      </c>
      <c r="M46" s="88">
        <v>0.13</v>
      </c>
      <c r="N46" s="76">
        <v>0.14000000000000001</v>
      </c>
      <c r="O46" s="76">
        <v>0.14000000000000001</v>
      </c>
    </row>
    <row r="47" spans="1:22">
      <c r="B47" s="142"/>
      <c r="C47" s="143"/>
      <c r="D47" s="143"/>
      <c r="E47" s="143"/>
      <c r="F47" s="143"/>
      <c r="G47" s="143"/>
      <c r="H47" s="143"/>
      <c r="I47" s="143"/>
      <c r="J47" s="143"/>
      <c r="K47" s="143"/>
      <c r="L47" s="79">
        <v>0.14000000000000001</v>
      </c>
      <c r="M47" s="79">
        <v>0.21</v>
      </c>
      <c r="N47" s="79">
        <v>0.21</v>
      </c>
      <c r="O47" s="79">
        <v>0.19</v>
      </c>
    </row>
    <row r="48" spans="1:22">
      <c r="B48" s="142"/>
      <c r="C48" s="143"/>
      <c r="D48" s="143"/>
      <c r="E48" s="143"/>
      <c r="F48" s="143"/>
      <c r="G48" s="143"/>
      <c r="H48" s="143"/>
      <c r="I48" s="143"/>
      <c r="J48" s="143"/>
      <c r="K48" s="143"/>
      <c r="L48" s="76">
        <v>2.36</v>
      </c>
      <c r="M48" s="76">
        <v>2.23</v>
      </c>
      <c r="N48" s="76">
        <v>1.71</v>
      </c>
      <c r="O48" s="76">
        <v>1.64</v>
      </c>
    </row>
    <row r="49" spans="2:15">
      <c r="B49" s="142"/>
      <c r="C49" s="143"/>
      <c r="D49" s="143"/>
      <c r="E49" s="143"/>
      <c r="F49" s="143"/>
      <c r="G49" s="143"/>
      <c r="H49" s="143"/>
      <c r="I49" s="143"/>
      <c r="J49" s="143"/>
      <c r="K49" s="143"/>
      <c r="L49" s="79">
        <v>0.21</v>
      </c>
      <c r="M49" s="79">
        <v>0.22</v>
      </c>
      <c r="N49" s="79">
        <v>0.2</v>
      </c>
      <c r="O49" s="79">
        <v>0.18</v>
      </c>
    </row>
    <row r="50" spans="2:15">
      <c r="B50" s="142"/>
      <c r="C50" s="143"/>
      <c r="D50" s="143"/>
      <c r="E50" s="143"/>
      <c r="F50" s="143"/>
      <c r="G50" s="143"/>
      <c r="H50" s="143"/>
      <c r="I50" s="143"/>
      <c r="J50" s="143"/>
      <c r="K50" s="143"/>
      <c r="L50" s="76">
        <v>1.53</v>
      </c>
      <c r="M50" s="76">
        <v>1.57</v>
      </c>
      <c r="N50" s="76">
        <v>2.42</v>
      </c>
      <c r="O50" s="76">
        <v>2.36</v>
      </c>
    </row>
    <row r="51" spans="2:15">
      <c r="B51" s="142"/>
      <c r="C51" s="143"/>
      <c r="D51" s="143"/>
      <c r="E51" s="143"/>
      <c r="F51" s="143"/>
      <c r="G51" s="143"/>
      <c r="H51" s="143"/>
      <c r="I51" s="143"/>
      <c r="J51" s="143"/>
      <c r="K51" s="143"/>
      <c r="L51" s="79">
        <v>-0.15</v>
      </c>
      <c r="M51" s="79">
        <v>-0.15</v>
      </c>
      <c r="N51" s="79">
        <v>-0.15</v>
      </c>
      <c r="O51" s="79">
        <v>-0.13</v>
      </c>
    </row>
    <row r="52" spans="2:15">
      <c r="B52" s="142"/>
      <c r="C52" s="143"/>
      <c r="D52" s="143"/>
      <c r="E52" s="143"/>
      <c r="F52" s="143"/>
      <c r="G52" s="143"/>
      <c r="H52" s="143"/>
      <c r="I52" s="143"/>
      <c r="J52" s="143"/>
      <c r="K52" s="143"/>
      <c r="L52" s="76">
        <v>4.22</v>
      </c>
      <c r="M52" s="76">
        <v>4.21</v>
      </c>
      <c r="N52" s="76">
        <v>4.53</v>
      </c>
      <c r="O52" s="76">
        <v>4.38</v>
      </c>
    </row>
    <row r="53" spans="2:15">
      <c r="B53" s="142"/>
      <c r="C53" s="143"/>
      <c r="D53" s="143"/>
      <c r="E53" s="143"/>
      <c r="F53" s="143"/>
      <c r="G53" s="143"/>
      <c r="H53" s="143"/>
      <c r="I53" s="143"/>
      <c r="J53" s="143"/>
      <c r="K53" s="143"/>
      <c r="L53" s="79">
        <v>22.868197599707401</v>
      </c>
      <c r="M53" s="79">
        <v>22.979640984784201</v>
      </c>
      <c r="N53" s="79">
        <v>23.238929887340799</v>
      </c>
      <c r="O53" s="79">
        <v>23.059393053869002</v>
      </c>
    </row>
    <row r="54" spans="2:15">
      <c r="B54" s="142"/>
      <c r="C54" s="143"/>
      <c r="D54" s="143"/>
      <c r="E54" s="143"/>
      <c r="F54" s="143"/>
      <c r="G54" s="143"/>
      <c r="H54" s="143"/>
      <c r="I54" s="143"/>
      <c r="J54" s="143"/>
      <c r="K54" s="143"/>
      <c r="L54" s="76">
        <v>1.4</v>
      </c>
      <c r="M54" s="76">
        <v>1.5</v>
      </c>
      <c r="N54" s="76">
        <v>1.68</v>
      </c>
      <c r="O54" s="76">
        <v>1.69</v>
      </c>
    </row>
    <row r="55" spans="2:15"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79">
        <v>28.49</v>
      </c>
      <c r="M55" s="79">
        <v>28.68</v>
      </c>
      <c r="N55" s="79">
        <v>29.45</v>
      </c>
      <c r="O55" s="79">
        <v>29.14</v>
      </c>
    </row>
    <row r="56" spans="2:15">
      <c r="B56" s="142"/>
      <c r="C56" s="143"/>
      <c r="D56" s="143"/>
      <c r="E56" s="143"/>
      <c r="F56" s="143"/>
      <c r="G56" s="143"/>
      <c r="H56" s="143"/>
      <c r="I56" s="143"/>
      <c r="J56" s="143"/>
      <c r="K56" s="143"/>
      <c r="L56" s="76"/>
      <c r="M56" s="76"/>
      <c r="N56" s="76"/>
      <c r="O56" s="76"/>
    </row>
    <row r="57" spans="2:15"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79">
        <v>26807.94</v>
      </c>
      <c r="M57" s="79">
        <v>21694.52</v>
      </c>
      <c r="N57" s="79">
        <v>28776.97</v>
      </c>
      <c r="O57" s="79">
        <v>30587.27</v>
      </c>
    </row>
    <row r="58" spans="2:15">
      <c r="B58" s="142"/>
      <c r="C58" s="143"/>
      <c r="D58" s="143"/>
      <c r="E58" s="143"/>
      <c r="F58" s="143"/>
      <c r="G58" s="143"/>
      <c r="H58" s="143"/>
      <c r="I58" s="143"/>
      <c r="J58" s="143"/>
      <c r="K58" s="143"/>
      <c r="L58" s="76">
        <v>169403.84</v>
      </c>
      <c r="M58" s="76">
        <v>46388.72</v>
      </c>
      <c r="N58" s="76">
        <v>43748.5</v>
      </c>
      <c r="O58" s="76">
        <v>45293.94</v>
      </c>
    </row>
    <row r="59" spans="2:15">
      <c r="B59" s="142"/>
      <c r="C59" s="143"/>
      <c r="D59" s="143"/>
      <c r="E59" s="143"/>
      <c r="F59" s="143"/>
      <c r="G59" s="143"/>
      <c r="H59" s="143"/>
      <c r="I59" s="143"/>
      <c r="J59" s="143"/>
      <c r="K59" s="143"/>
      <c r="L59" s="79">
        <v>-15.29</v>
      </c>
      <c r="M59" s="79">
        <v>-186.77</v>
      </c>
      <c r="N59" s="79">
        <v>-64.03</v>
      </c>
      <c r="O59" s="79">
        <v>0</v>
      </c>
    </row>
    <row r="60" spans="2:15">
      <c r="B60" s="142"/>
      <c r="C60" s="143"/>
      <c r="D60" s="143"/>
      <c r="E60" s="143"/>
      <c r="F60" s="143"/>
      <c r="G60" s="143"/>
      <c r="H60" s="143"/>
      <c r="I60" s="143"/>
      <c r="J60" s="143"/>
      <c r="K60" s="143"/>
      <c r="L60" s="76">
        <v>-1911.57</v>
      </c>
      <c r="M60" s="76">
        <v>136.9</v>
      </c>
      <c r="N60" s="76">
        <v>780.43</v>
      </c>
      <c r="O60" s="76">
        <v>362.09</v>
      </c>
    </row>
    <row r="61" spans="2:15">
      <c r="B61" s="142"/>
      <c r="C61" s="143"/>
      <c r="D61" s="143"/>
      <c r="E61" s="143"/>
      <c r="F61" s="143"/>
      <c r="G61" s="143"/>
      <c r="H61" s="143"/>
      <c r="I61" s="143"/>
      <c r="J61" s="143"/>
      <c r="K61" s="143"/>
      <c r="L61" s="79">
        <v>4816.29</v>
      </c>
      <c r="M61" s="79">
        <v>1039.1600000000001</v>
      </c>
      <c r="N61" s="79">
        <v>1065.3800000000001</v>
      </c>
      <c r="O61" s="79">
        <v>988.1</v>
      </c>
    </row>
    <row r="62" spans="2:15">
      <c r="B62" s="142"/>
      <c r="C62" s="143"/>
      <c r="D62" s="143"/>
      <c r="E62" s="143"/>
      <c r="F62" s="143"/>
      <c r="G62" s="143"/>
      <c r="H62" s="143"/>
      <c r="I62" s="143"/>
      <c r="J62" s="143"/>
      <c r="K62" s="143"/>
      <c r="L62" s="76">
        <v>21694.52</v>
      </c>
      <c r="M62" s="76">
        <v>22447.09</v>
      </c>
      <c r="N62" s="76">
        <v>21773.41</v>
      </c>
      <c r="O62" s="76">
        <v>25021.74</v>
      </c>
    </row>
    <row r="63" spans="2:15">
      <c r="B63" s="142"/>
      <c r="C63" s="143"/>
      <c r="D63" s="143"/>
      <c r="E63" s="143"/>
      <c r="F63" s="143"/>
      <c r="G63" s="143"/>
      <c r="H63" s="143"/>
      <c r="I63" s="143"/>
      <c r="J63" s="143"/>
      <c r="K63" s="143"/>
      <c r="L63" s="79">
        <v>167774.11</v>
      </c>
      <c r="M63" s="79">
        <v>44547.12</v>
      </c>
      <c r="N63" s="79">
        <v>50403.09</v>
      </c>
      <c r="O63" s="79">
        <v>50233.45</v>
      </c>
    </row>
    <row r="64" spans="2:15">
      <c r="B64" s="142"/>
      <c r="C64" s="143"/>
      <c r="D64" s="143"/>
      <c r="E64" s="143"/>
      <c r="F64" s="143"/>
      <c r="G64" s="143"/>
      <c r="H64" s="143"/>
      <c r="I64" s="143"/>
      <c r="J64" s="143"/>
      <c r="K64" s="143"/>
      <c r="L64" s="76"/>
      <c r="M64" s="76"/>
      <c r="N64" s="76"/>
      <c r="O64" s="76"/>
    </row>
    <row r="65" spans="2:1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79">
        <v>8660.56</v>
      </c>
      <c r="M65" s="79">
        <v>6926.53</v>
      </c>
      <c r="N65" s="79">
        <v>8337.35</v>
      </c>
      <c r="O65" s="79">
        <v>9298.3799999999992</v>
      </c>
    </row>
    <row r="66" spans="2:15">
      <c r="B66" s="142"/>
      <c r="C66" s="143"/>
      <c r="D66" s="143"/>
      <c r="E66" s="143"/>
      <c r="F66" s="143"/>
      <c r="G66" s="143"/>
      <c r="H66" s="143"/>
      <c r="I66" s="143"/>
      <c r="J66" s="143"/>
      <c r="K66" s="143"/>
      <c r="L66" s="76">
        <v>21659.64</v>
      </c>
      <c r="M66" s="76">
        <v>5753.82</v>
      </c>
      <c r="N66" s="76">
        <v>5997.32</v>
      </c>
      <c r="O66" s="76">
        <v>7294.89</v>
      </c>
    </row>
    <row r="67" spans="2:15">
      <c r="B67" s="142"/>
      <c r="C67" s="143"/>
      <c r="D67" s="143"/>
      <c r="E67" s="143"/>
      <c r="F67" s="143"/>
      <c r="G67" s="143"/>
      <c r="H67" s="143"/>
      <c r="I67" s="143"/>
      <c r="J67" s="143"/>
      <c r="K67" s="143"/>
      <c r="L67" s="79">
        <v>0</v>
      </c>
      <c r="M67" s="79">
        <v>0</v>
      </c>
      <c r="N67" s="79">
        <v>0</v>
      </c>
      <c r="O67" s="79">
        <v>0</v>
      </c>
    </row>
    <row r="68" spans="2:15">
      <c r="B68" s="142"/>
      <c r="C68" s="143"/>
      <c r="D68" s="143"/>
      <c r="E68" s="143"/>
      <c r="F68" s="143"/>
      <c r="G68" s="143"/>
      <c r="H68" s="143"/>
      <c r="I68" s="143"/>
      <c r="J68" s="143"/>
      <c r="K68" s="143"/>
      <c r="L68" s="76">
        <v>-56.35</v>
      </c>
      <c r="M68" s="76">
        <v>4.17</v>
      </c>
      <c r="N68" s="76">
        <v>4.17</v>
      </c>
      <c r="O68" s="76">
        <v>-22.03</v>
      </c>
    </row>
    <row r="69" spans="2:15">
      <c r="B69" s="142"/>
      <c r="C69" s="143"/>
      <c r="D69" s="143"/>
      <c r="E69" s="143"/>
      <c r="F69" s="143"/>
      <c r="G69" s="143"/>
      <c r="H69" s="143"/>
      <c r="I69" s="143"/>
      <c r="J69" s="143"/>
      <c r="K69" s="143"/>
      <c r="L69" s="79">
        <v>316.06</v>
      </c>
      <c r="M69" s="79">
        <v>70.06</v>
      </c>
      <c r="N69" s="79">
        <v>75.55</v>
      </c>
      <c r="O69" s="79">
        <v>71.69</v>
      </c>
    </row>
    <row r="70" spans="2:15">
      <c r="B70" s="142"/>
      <c r="C70" s="143"/>
      <c r="D70" s="143"/>
      <c r="E70" s="143"/>
      <c r="F70" s="143"/>
      <c r="G70" s="143"/>
      <c r="H70" s="143"/>
      <c r="I70" s="143"/>
      <c r="J70" s="143"/>
      <c r="K70" s="143"/>
      <c r="L70" s="76">
        <v>6926.53</v>
      </c>
      <c r="M70" s="76">
        <v>7567.17</v>
      </c>
      <c r="N70" s="76">
        <v>5451.53</v>
      </c>
      <c r="O70" s="76">
        <v>7484.35</v>
      </c>
    </row>
    <row r="71" spans="2:15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5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5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5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5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5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5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5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5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5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V8 L42:O42" xr:uid="{00000000-0002-0000-06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X200"/>
  <sheetViews>
    <sheetView zoomScale="120" zoomScaleNormal="120"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4" width="10.83203125" style="28" customWidth="1"/>
  </cols>
  <sheetData>
    <row r="1" spans="1:24">
      <c r="A1" s="54" t="s">
        <v>1</v>
      </c>
      <c r="B1" s="72">
        <v>6972</v>
      </c>
      <c r="C1" s="55" t="s">
        <v>9</v>
      </c>
      <c r="D1" s="74">
        <f>_xlfn.XLOOKUP(B1,'FC-Inv Setup'!A3:A22,'FC-Inv Setup'!I3:I22)</f>
        <v>46063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4">
      <c r="A2" s="54" t="s">
        <v>3</v>
      </c>
      <c r="B2" s="73" t="str">
        <f>_xlfn.XLOOKUP(B1,'FC-Inv Setup'!A3:A22,'FC-Inv Setup'!C3:C22)</f>
        <v>Robert Spencer</v>
      </c>
      <c r="C2" s="54" t="s">
        <v>125</v>
      </c>
      <c r="D2" s="73" t="str">
        <f>_xlfn.XLOOKUP(B1,'FC-Inv Setup'!A3:A22,'FC-Inv Setup'!K3:K22)</f>
        <v>Medium</v>
      </c>
    </row>
    <row r="3" spans="1:24">
      <c r="A3" s="54" t="s">
        <v>4</v>
      </c>
      <c r="B3" s="73" t="str">
        <f>_xlfn.XLOOKUP(B1,'FC-Inv Setup'!A3:A22,'FC-Inv Setup'!D3:D22)</f>
        <v>Nick Rice</v>
      </c>
      <c r="D3" s="73"/>
    </row>
    <row r="4" spans="1:24">
      <c r="A4" s="54" t="s">
        <v>124</v>
      </c>
      <c r="B4" s="73" t="str">
        <f>_xlfn.XLOOKUP(B1,'FC-Inv Setup'!A3:A22,'FC-Inv Setup'!E3:E22)</f>
        <v>Beth</v>
      </c>
      <c r="D4" s="73"/>
    </row>
    <row r="5" spans="1:24">
      <c r="A5" s="54" t="s">
        <v>10</v>
      </c>
      <c r="B5" s="73" t="str">
        <f>_xlfn.XLOOKUP(B1,'FC-Inv Setup'!A3:A22,'FC-Inv Setup'!J3:J22)</f>
        <v>Thursday</v>
      </c>
      <c r="D5" s="73"/>
    </row>
    <row r="6" spans="1:24">
      <c r="C6" s="28" t="s">
        <v>312</v>
      </c>
      <c r="D6" s="28" t="s">
        <v>312</v>
      </c>
    </row>
    <row r="7" spans="1:24" s="2" customFormat="1">
      <c r="A7" s="45" t="s">
        <v>313</v>
      </c>
      <c r="B7" s="86" t="s">
        <v>314</v>
      </c>
      <c r="C7" s="86">
        <v>46023</v>
      </c>
      <c r="D7" s="86">
        <v>46030</v>
      </c>
      <c r="E7" s="86">
        <v>46037</v>
      </c>
      <c r="F7" s="86">
        <v>46044</v>
      </c>
      <c r="G7" s="45">
        <v>46051</v>
      </c>
      <c r="H7" s="75" t="s">
        <v>315</v>
      </c>
      <c r="I7" s="75">
        <v>46058</v>
      </c>
      <c r="J7" s="75">
        <v>46065</v>
      </c>
      <c r="K7" s="75">
        <v>46072</v>
      </c>
      <c r="L7" s="75">
        <v>46079</v>
      </c>
      <c r="M7" s="75" t="s">
        <v>316</v>
      </c>
      <c r="N7" s="75">
        <v>46086</v>
      </c>
      <c r="O7" s="75">
        <v>46093</v>
      </c>
      <c r="P7" s="75">
        <v>46100</v>
      </c>
      <c r="Q7" s="75">
        <v>46107</v>
      </c>
      <c r="R7" s="75" t="s">
        <v>317</v>
      </c>
      <c r="S7" s="75">
        <v>46114</v>
      </c>
      <c r="T7" s="75">
        <v>46121</v>
      </c>
      <c r="U7" s="75">
        <v>46128</v>
      </c>
      <c r="V7" s="75">
        <v>46135</v>
      </c>
      <c r="W7" s="75">
        <v>46142</v>
      </c>
      <c r="X7" s="87" t="s">
        <v>322</v>
      </c>
    </row>
    <row r="8" spans="1:24">
      <c r="A8" s="84" t="s">
        <v>323</v>
      </c>
      <c r="B8" s="76" t="s">
        <v>324</v>
      </c>
      <c r="C8" s="76"/>
      <c r="D8" s="76"/>
      <c r="E8" s="76"/>
      <c r="F8" s="76" t="s">
        <v>10</v>
      </c>
      <c r="G8" s="89" t="s">
        <v>10</v>
      </c>
      <c r="H8" s="77" t="s">
        <v>324</v>
      </c>
      <c r="I8" s="77" t="s">
        <v>10</v>
      </c>
      <c r="J8" s="77" t="s">
        <v>10</v>
      </c>
      <c r="K8" s="77" t="s">
        <v>10</v>
      </c>
      <c r="L8" s="77" t="s">
        <v>10</v>
      </c>
      <c r="M8" s="77" t="s">
        <v>324</v>
      </c>
      <c r="N8" s="77" t="s">
        <v>10</v>
      </c>
      <c r="O8" s="77" t="s">
        <v>10</v>
      </c>
      <c r="P8" s="77" t="s">
        <v>10</v>
      </c>
      <c r="Q8" s="77" t="s">
        <v>10</v>
      </c>
      <c r="R8" s="77" t="s">
        <v>324</v>
      </c>
      <c r="S8" s="77" t="s">
        <v>10</v>
      </c>
      <c r="T8" s="77" t="s">
        <v>10</v>
      </c>
      <c r="U8" s="77" t="s">
        <v>10</v>
      </c>
      <c r="V8" s="77" t="s">
        <v>10</v>
      </c>
      <c r="W8" s="77" t="s">
        <v>10</v>
      </c>
      <c r="X8" s="78" t="s">
        <v>324</v>
      </c>
    </row>
    <row r="9" spans="1:24">
      <c r="A9" s="85" t="s">
        <v>325</v>
      </c>
      <c r="B9" s="79">
        <v>610699.99</v>
      </c>
      <c r="C9" s="79"/>
      <c r="D9" s="79"/>
      <c r="E9" s="79"/>
      <c r="F9" s="79">
        <v>140433.35</v>
      </c>
      <c r="G9" s="79">
        <v>113098.58</v>
      </c>
      <c r="H9" s="79">
        <v>498161.97</v>
      </c>
      <c r="I9" s="79">
        <v>86537.26</v>
      </c>
      <c r="J9" s="79">
        <v>146863.41</v>
      </c>
      <c r="K9" s="79">
        <v>146245.03</v>
      </c>
      <c r="L9" s="79">
        <v>153012.59</v>
      </c>
      <c r="M9" s="79">
        <v>520258.68</v>
      </c>
      <c r="N9" s="79">
        <v>95351.62</v>
      </c>
      <c r="O9" s="79">
        <v>152391.32999999999</v>
      </c>
      <c r="P9" s="79">
        <v>153452.98000000001</v>
      </c>
      <c r="Q9" s="79"/>
      <c r="R9" s="79"/>
      <c r="S9" s="79"/>
      <c r="T9" s="79"/>
      <c r="U9" s="79"/>
      <c r="V9" s="79"/>
      <c r="W9" s="79"/>
      <c r="X9" s="80"/>
    </row>
    <row r="10" spans="1:24">
      <c r="A10" s="84" t="s">
        <v>326</v>
      </c>
      <c r="B10" s="76">
        <v>4.2</v>
      </c>
      <c r="C10" s="76"/>
      <c r="D10" s="76"/>
      <c r="E10" s="76"/>
      <c r="F10" s="76">
        <v>3.34</v>
      </c>
      <c r="G10" s="76">
        <v>3.35</v>
      </c>
      <c r="H10" s="76">
        <v>3.91</v>
      </c>
      <c r="I10" s="76">
        <v>3.1</v>
      </c>
      <c r="J10" s="76">
        <v>3.35</v>
      </c>
      <c r="K10" s="76">
        <v>4.33</v>
      </c>
      <c r="L10" s="76">
        <v>3.22</v>
      </c>
      <c r="M10" s="76">
        <v>3.86</v>
      </c>
      <c r="N10" s="76">
        <v>3.42</v>
      </c>
      <c r="O10" s="76">
        <v>3.45</v>
      </c>
      <c r="P10" s="76">
        <v>3.41</v>
      </c>
      <c r="Q10" s="76"/>
      <c r="R10" s="76"/>
      <c r="S10" s="76"/>
      <c r="T10" s="76"/>
      <c r="U10" s="76"/>
      <c r="V10" s="76"/>
      <c r="W10" s="76"/>
      <c r="X10" s="81"/>
    </row>
    <row r="11" spans="1:24">
      <c r="A11" s="85" t="s">
        <v>327</v>
      </c>
      <c r="B11" s="79">
        <v>25680.71</v>
      </c>
      <c r="C11" s="79"/>
      <c r="D11" s="79"/>
      <c r="E11" s="79"/>
      <c r="F11" s="79">
        <v>4692.68</v>
      </c>
      <c r="G11" s="79">
        <v>3790.32</v>
      </c>
      <c r="H11" s="79">
        <v>19460.169999999998</v>
      </c>
      <c r="I11" s="79">
        <v>2686.87</v>
      </c>
      <c r="J11" s="79">
        <v>4917.62</v>
      </c>
      <c r="K11" s="79">
        <v>6337.63</v>
      </c>
      <c r="L11" s="79">
        <v>4927.8900000000003</v>
      </c>
      <c r="M11" s="79">
        <v>20096.560000000001</v>
      </c>
      <c r="N11" s="79">
        <v>3259.4</v>
      </c>
      <c r="O11" s="79">
        <v>5254.31</v>
      </c>
      <c r="P11" s="79">
        <v>5227.4399999999996</v>
      </c>
      <c r="Q11" s="79"/>
      <c r="R11" s="79"/>
      <c r="S11" s="79"/>
      <c r="T11" s="79"/>
      <c r="U11" s="79"/>
      <c r="V11" s="79"/>
      <c r="W11" s="79"/>
      <c r="X11" s="80"/>
    </row>
    <row r="12" spans="1:24">
      <c r="A12" s="84" t="s">
        <v>328</v>
      </c>
      <c r="B12" s="76">
        <v>0.19</v>
      </c>
      <c r="C12" s="76"/>
      <c r="D12" s="76"/>
      <c r="E12" s="76"/>
      <c r="F12" s="76">
        <v>0.16</v>
      </c>
      <c r="G12" s="76">
        <v>0.19</v>
      </c>
      <c r="H12" s="76">
        <v>0.18</v>
      </c>
      <c r="I12" s="76">
        <v>0.16</v>
      </c>
      <c r="J12" s="76">
        <v>0.66</v>
      </c>
      <c r="K12" s="76">
        <v>0.16</v>
      </c>
      <c r="L12" s="76">
        <v>0.16</v>
      </c>
      <c r="M12" s="76">
        <v>0.19</v>
      </c>
      <c r="N12" s="88">
        <v>0.34</v>
      </c>
      <c r="O12" s="76">
        <v>0.26</v>
      </c>
      <c r="P12" s="76">
        <v>0.18</v>
      </c>
      <c r="Q12" s="76"/>
      <c r="R12" s="76"/>
      <c r="S12" s="76"/>
      <c r="T12" s="76"/>
      <c r="U12" s="76"/>
      <c r="V12" s="76"/>
      <c r="W12" s="76"/>
      <c r="X12" s="81"/>
    </row>
    <row r="13" spans="1:24">
      <c r="A13" s="85" t="s">
        <v>329</v>
      </c>
      <c r="B13" s="79">
        <v>0.78</v>
      </c>
      <c r="C13" s="79"/>
      <c r="D13" s="79"/>
      <c r="E13" s="79"/>
      <c r="F13" s="79">
        <v>0.76</v>
      </c>
      <c r="G13" s="79">
        <v>0.57999999999999996</v>
      </c>
      <c r="H13" s="79">
        <v>0.81</v>
      </c>
      <c r="I13" s="79">
        <v>0.35</v>
      </c>
      <c r="J13" s="79">
        <v>5.61</v>
      </c>
      <c r="K13" s="79">
        <v>0.61</v>
      </c>
      <c r="L13" s="79">
        <v>0.51</v>
      </c>
      <c r="M13" s="79">
        <v>0.59</v>
      </c>
      <c r="N13" s="79">
        <v>0.7</v>
      </c>
      <c r="O13" s="79">
        <v>0.83</v>
      </c>
      <c r="P13" s="79">
        <v>0.66</v>
      </c>
      <c r="Q13" s="79"/>
      <c r="R13" s="79"/>
      <c r="S13" s="79"/>
      <c r="T13" s="79"/>
      <c r="U13" s="79"/>
      <c r="V13" s="79"/>
      <c r="W13" s="79"/>
      <c r="X13" s="80"/>
    </row>
    <row r="14" spans="1:24">
      <c r="A14" s="84" t="s">
        <v>330</v>
      </c>
      <c r="B14" s="76">
        <v>1.82</v>
      </c>
      <c r="C14" s="76"/>
      <c r="D14" s="76"/>
      <c r="E14" s="76"/>
      <c r="F14" s="76">
        <v>1.85</v>
      </c>
      <c r="G14" s="76">
        <v>1.66</v>
      </c>
      <c r="H14" s="76">
        <v>1.93</v>
      </c>
      <c r="I14" s="76">
        <v>1.96</v>
      </c>
      <c r="J14" s="76">
        <v>0.34</v>
      </c>
      <c r="K14" s="76">
        <v>2.36</v>
      </c>
      <c r="L14" s="76">
        <v>1.98</v>
      </c>
      <c r="M14" s="76">
        <v>3.18</v>
      </c>
      <c r="N14" s="76">
        <v>1.84</v>
      </c>
      <c r="O14" s="76">
        <v>1.28</v>
      </c>
      <c r="P14" s="76">
        <v>1.41</v>
      </c>
      <c r="Q14" s="76"/>
      <c r="R14" s="76"/>
      <c r="S14" s="76"/>
      <c r="T14" s="76"/>
      <c r="U14" s="76"/>
      <c r="V14" s="76"/>
      <c r="W14" s="76"/>
      <c r="X14" s="81"/>
    </row>
    <row r="15" spans="1:24">
      <c r="A15" s="85" t="s">
        <v>331</v>
      </c>
      <c r="B15" s="79">
        <v>0.32</v>
      </c>
      <c r="C15" s="79"/>
      <c r="D15" s="79"/>
      <c r="E15" s="79"/>
      <c r="F15" s="79">
        <v>0.4</v>
      </c>
      <c r="G15" s="79">
        <v>0.4</v>
      </c>
      <c r="H15" s="79">
        <v>0.4</v>
      </c>
      <c r="I15" s="79">
        <v>0.4</v>
      </c>
      <c r="J15" s="79">
        <v>11.42</v>
      </c>
      <c r="K15" s="79">
        <v>0.36</v>
      </c>
      <c r="L15" s="79">
        <v>0.4</v>
      </c>
      <c r="M15" s="79">
        <v>0.37</v>
      </c>
      <c r="N15" s="79">
        <v>0.36</v>
      </c>
      <c r="O15" s="79">
        <v>0.37</v>
      </c>
      <c r="P15" s="79">
        <v>0.36</v>
      </c>
      <c r="Q15" s="79"/>
      <c r="R15" s="79"/>
      <c r="S15" s="79"/>
      <c r="T15" s="79"/>
      <c r="U15" s="79"/>
      <c r="V15" s="79"/>
      <c r="W15" s="79"/>
      <c r="X15" s="80"/>
    </row>
    <row r="16" spans="1:24">
      <c r="A16" s="84" t="s">
        <v>332</v>
      </c>
      <c r="B16" s="76">
        <v>1.78</v>
      </c>
      <c r="C16" s="76"/>
      <c r="D16" s="76"/>
      <c r="E16" s="76"/>
      <c r="F16" s="76">
        <v>2.3199999999999998</v>
      </c>
      <c r="G16" s="76">
        <v>1.97</v>
      </c>
      <c r="H16" s="76">
        <v>2.33</v>
      </c>
      <c r="I16" s="76">
        <v>-0.39</v>
      </c>
      <c r="J16" s="76">
        <v>0.26</v>
      </c>
      <c r="K16" s="76">
        <v>2.17</v>
      </c>
      <c r="L16" s="76">
        <v>2</v>
      </c>
      <c r="M16" s="76">
        <v>4.42</v>
      </c>
      <c r="N16" s="76">
        <v>1.38</v>
      </c>
      <c r="O16" s="76">
        <v>0.64</v>
      </c>
      <c r="P16" s="76">
        <v>1.55</v>
      </c>
      <c r="Q16" s="76"/>
      <c r="R16" s="76"/>
      <c r="S16" s="76"/>
      <c r="T16" s="76"/>
      <c r="U16" s="76"/>
      <c r="V16" s="76"/>
      <c r="W16" s="76"/>
      <c r="X16" s="81"/>
    </row>
    <row r="17" spans="1:24">
      <c r="A17" s="85" t="s">
        <v>333</v>
      </c>
      <c r="B17" s="79">
        <v>-0.06</v>
      </c>
      <c r="C17" s="79"/>
      <c r="D17" s="79"/>
      <c r="E17" s="79"/>
      <c r="F17" s="79">
        <v>-0.01</v>
      </c>
      <c r="G17" s="79">
        <v>0.06</v>
      </c>
      <c r="H17" s="79">
        <v>-0.04</v>
      </c>
      <c r="I17" s="79">
        <v>-0.64</v>
      </c>
      <c r="J17" s="79">
        <v>18.489999999999998</v>
      </c>
      <c r="K17" s="79">
        <v>-0.02</v>
      </c>
      <c r="L17" s="79">
        <v>-0.05</v>
      </c>
      <c r="M17" s="79">
        <v>-0.02</v>
      </c>
      <c r="N17" s="79">
        <v>0.06</v>
      </c>
      <c r="O17" s="79">
        <v>-0.05</v>
      </c>
      <c r="P17" s="79">
        <v>0.02</v>
      </c>
      <c r="Q17" s="79"/>
      <c r="R17" s="79"/>
      <c r="S17" s="79"/>
      <c r="T17" s="79"/>
      <c r="U17" s="79"/>
      <c r="V17" s="79"/>
      <c r="W17" s="79"/>
      <c r="X17" s="80"/>
    </row>
    <row r="18" spans="1:24">
      <c r="A18" s="84" t="s">
        <v>334</v>
      </c>
      <c r="B18" s="76">
        <v>4.83</v>
      </c>
      <c r="C18" s="76"/>
      <c r="D18" s="76"/>
      <c r="E18" s="76"/>
      <c r="F18" s="76">
        <v>5.48</v>
      </c>
      <c r="G18" s="76">
        <v>4.8600000000000003</v>
      </c>
      <c r="H18" s="76">
        <v>5.61</v>
      </c>
      <c r="I18" s="76">
        <v>1.84</v>
      </c>
      <c r="J18" s="76">
        <v>22.8699071778932</v>
      </c>
      <c r="K18" s="76">
        <v>5.64</v>
      </c>
      <c r="L18" s="76">
        <v>5</v>
      </c>
      <c r="M18" s="76">
        <v>8.73</v>
      </c>
      <c r="N18" s="76">
        <v>4.68</v>
      </c>
      <c r="O18" s="76">
        <v>3.33</v>
      </c>
      <c r="P18" s="76">
        <v>4.18</v>
      </c>
      <c r="Q18" s="76"/>
      <c r="R18" s="76"/>
      <c r="S18" s="76"/>
      <c r="T18" s="76"/>
      <c r="U18" s="76"/>
      <c r="V18" s="76"/>
      <c r="W18" s="76"/>
      <c r="X18" s="81"/>
    </row>
    <row r="19" spans="1:24">
      <c r="A19" s="85" t="s">
        <v>335</v>
      </c>
      <c r="B19" s="79">
        <v>22.258830870007198</v>
      </c>
      <c r="C19" s="79"/>
      <c r="D19" s="79"/>
      <c r="E19" s="79"/>
      <c r="F19" s="79">
        <v>22.6295377998104</v>
      </c>
      <c r="G19" s="79">
        <v>23.0473512790246</v>
      </c>
      <c r="H19" s="79">
        <v>22.645418895107699</v>
      </c>
      <c r="I19" s="79">
        <v>22.7045511622471</v>
      </c>
      <c r="J19" s="79">
        <v>1</v>
      </c>
      <c r="K19" s="79">
        <v>22.6652793073068</v>
      </c>
      <c r="L19" s="79">
        <v>22.634521060521799</v>
      </c>
      <c r="M19" s="79">
        <v>22.701665387772</v>
      </c>
      <c r="N19" s="79">
        <v>22.662941360444599</v>
      </c>
      <c r="O19" s="79">
        <v>22.860120478179699</v>
      </c>
      <c r="P19" s="79">
        <v>22.7863981259014</v>
      </c>
      <c r="Q19" s="79"/>
      <c r="R19" s="79"/>
      <c r="S19" s="79"/>
      <c r="T19" s="79"/>
      <c r="U19" s="79"/>
      <c r="V19" s="79"/>
      <c r="W19" s="79"/>
      <c r="X19" s="80"/>
    </row>
    <row r="20" spans="1:24">
      <c r="A20" s="84" t="s">
        <v>336</v>
      </c>
      <c r="B20" s="76">
        <v>1.18</v>
      </c>
      <c r="C20" s="76"/>
      <c r="D20" s="76"/>
      <c r="E20" s="76"/>
      <c r="F20" s="76">
        <v>1.27</v>
      </c>
      <c r="G20" s="76">
        <v>1.24</v>
      </c>
      <c r="H20" s="76">
        <v>1.23</v>
      </c>
      <c r="I20" s="76">
        <v>1.21</v>
      </c>
      <c r="J20" s="76">
        <v>42.36</v>
      </c>
      <c r="K20" s="76">
        <v>1.17</v>
      </c>
      <c r="L20" s="76">
        <v>1.26</v>
      </c>
      <c r="M20" s="76">
        <v>1.17</v>
      </c>
      <c r="N20" s="76">
        <v>1.39</v>
      </c>
      <c r="O20" s="76">
        <v>1.41</v>
      </c>
      <c r="P20" s="76">
        <v>1.54</v>
      </c>
      <c r="Q20" s="76"/>
      <c r="R20" s="76"/>
      <c r="S20" s="76"/>
      <c r="T20" s="76"/>
      <c r="U20" s="76"/>
      <c r="V20" s="76"/>
      <c r="W20" s="76"/>
      <c r="X20" s="81"/>
    </row>
    <row r="21" spans="1:24">
      <c r="A21" s="85" t="s">
        <v>337</v>
      </c>
      <c r="B21" s="79">
        <v>28.27</v>
      </c>
      <c r="C21" s="79"/>
      <c r="D21" s="79"/>
      <c r="E21" s="79"/>
      <c r="F21" s="79">
        <v>29.38</v>
      </c>
      <c r="G21" s="79">
        <v>29.14</v>
      </c>
      <c r="H21" s="79">
        <v>29.49</v>
      </c>
      <c r="I21" s="79">
        <v>25.76</v>
      </c>
      <c r="J21" s="79"/>
      <c r="K21" s="79">
        <v>29.47</v>
      </c>
      <c r="L21" s="79">
        <v>28.9</v>
      </c>
      <c r="M21" s="79">
        <v>32.6</v>
      </c>
      <c r="N21" s="79">
        <v>28.73</v>
      </c>
      <c r="O21" s="79">
        <v>27.6</v>
      </c>
      <c r="P21" s="79">
        <v>28.5</v>
      </c>
      <c r="Q21" s="79"/>
      <c r="R21" s="79"/>
      <c r="S21" s="79"/>
      <c r="T21" s="79"/>
      <c r="U21" s="79"/>
      <c r="V21" s="79"/>
      <c r="W21" s="79"/>
      <c r="X21" s="80"/>
    </row>
    <row r="22" spans="1:24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81"/>
    </row>
    <row r="23" spans="1:24">
      <c r="A23" s="85" t="s">
        <v>339</v>
      </c>
      <c r="B23" s="79">
        <v>47190.12</v>
      </c>
      <c r="C23" s="79"/>
      <c r="D23" s="79"/>
      <c r="E23" s="79"/>
      <c r="F23" s="79">
        <v>54587.6</v>
      </c>
      <c r="G23" s="79">
        <v>44139.63</v>
      </c>
      <c r="H23" s="79">
        <v>49486.59</v>
      </c>
      <c r="I23" s="79">
        <v>48777.120000000003</v>
      </c>
      <c r="J23" s="79">
        <v>32573.4</v>
      </c>
      <c r="K23" s="79">
        <v>24108.959999999999</v>
      </c>
      <c r="L23" s="79">
        <v>27759.68</v>
      </c>
      <c r="M23" s="79">
        <v>48777.120000000003</v>
      </c>
      <c r="N23" s="79">
        <v>35101.86</v>
      </c>
      <c r="O23" s="79">
        <v>29286.17</v>
      </c>
      <c r="P23" s="79">
        <v>26838.13</v>
      </c>
      <c r="Q23" s="79"/>
      <c r="R23" s="79"/>
      <c r="S23" s="79"/>
      <c r="T23" s="79"/>
      <c r="U23" s="79"/>
      <c r="V23" s="79"/>
      <c r="W23" s="79"/>
      <c r="X23" s="80"/>
    </row>
    <row r="24" spans="1:24">
      <c r="A24" s="84" t="s">
        <v>340</v>
      </c>
      <c r="B24" s="76">
        <v>176637.17</v>
      </c>
      <c r="C24" s="76"/>
      <c r="D24" s="76"/>
      <c r="E24" s="76"/>
      <c r="F24" s="76">
        <v>26542.42</v>
      </c>
      <c r="G24" s="76">
        <v>36861.97</v>
      </c>
      <c r="H24" s="76">
        <v>150205.82999999999</v>
      </c>
      <c r="I24" s="76">
        <v>0</v>
      </c>
      <c r="J24" s="76">
        <v>42258.33</v>
      </c>
      <c r="K24" s="76">
        <v>42195.39</v>
      </c>
      <c r="L24" s="76">
        <v>39504.76</v>
      </c>
      <c r="M24" s="76">
        <v>149439.29999999999</v>
      </c>
      <c r="N24" s="76">
        <v>16924.21</v>
      </c>
      <c r="O24" s="76">
        <v>35289.81</v>
      </c>
      <c r="P24" s="76">
        <v>36750.97</v>
      </c>
      <c r="Q24" s="76"/>
      <c r="R24" s="76"/>
      <c r="S24" s="76"/>
      <c r="T24" s="76"/>
      <c r="U24" s="76"/>
      <c r="V24" s="76"/>
      <c r="W24" s="76"/>
      <c r="X24" s="81"/>
    </row>
    <row r="25" spans="1:24">
      <c r="A25" s="85" t="s">
        <v>341</v>
      </c>
      <c r="B25" s="79">
        <v>-16.760000000000002</v>
      </c>
      <c r="C25" s="79"/>
      <c r="D25" s="79"/>
      <c r="E25" s="79"/>
      <c r="F25" s="79">
        <v>0</v>
      </c>
      <c r="G25" s="79">
        <v>-536.52</v>
      </c>
      <c r="H25" s="79">
        <v>-536.52</v>
      </c>
      <c r="I25" s="79">
        <v>0</v>
      </c>
      <c r="J25" s="79">
        <v>-102.71</v>
      </c>
      <c r="K25" s="79">
        <v>-22.07</v>
      </c>
      <c r="L25" s="79">
        <v>0</v>
      </c>
      <c r="M25" s="79">
        <v>-136.56</v>
      </c>
      <c r="N25" s="79">
        <v>0</v>
      </c>
      <c r="O25" s="79">
        <v>-9.5399999999999991</v>
      </c>
      <c r="P25" s="79">
        <v>-134.88999999999999</v>
      </c>
      <c r="Q25" s="79"/>
      <c r="R25" s="79"/>
      <c r="S25" s="79"/>
      <c r="T25" s="79"/>
      <c r="U25" s="79"/>
      <c r="V25" s="79"/>
      <c r="W25" s="79"/>
      <c r="X25" s="80"/>
    </row>
    <row r="26" spans="1:24">
      <c r="A26" s="84" t="s">
        <v>342</v>
      </c>
      <c r="B26" s="76">
        <v>2091.0300000000002</v>
      </c>
      <c r="C26" s="76"/>
      <c r="D26" s="76"/>
      <c r="E26" s="76"/>
      <c r="F26" s="76">
        <v>337.71</v>
      </c>
      <c r="G26" s="76">
        <v>403.38</v>
      </c>
      <c r="H26" s="76">
        <v>656.11</v>
      </c>
      <c r="I26" s="76">
        <v>6615.84</v>
      </c>
      <c r="J26" s="76">
        <v>7261.03</v>
      </c>
      <c r="K26" s="76">
        <v>393.62</v>
      </c>
      <c r="L26" s="76">
        <v>93.59</v>
      </c>
      <c r="M26" s="76">
        <v>10231.959999999999</v>
      </c>
      <c r="N26" s="76">
        <v>-255.21</v>
      </c>
      <c r="O26" s="76">
        <v>565.04</v>
      </c>
      <c r="P26" s="76">
        <v>454.53</v>
      </c>
      <c r="Q26" s="76"/>
      <c r="R26" s="76"/>
      <c r="S26" s="76"/>
      <c r="T26" s="76"/>
      <c r="U26" s="76"/>
      <c r="V26" s="76"/>
      <c r="W26" s="76"/>
      <c r="X26" s="81"/>
    </row>
    <row r="27" spans="1:24">
      <c r="A27" s="85" t="s">
        <v>343</v>
      </c>
      <c r="B27" s="79">
        <v>3713.79</v>
      </c>
      <c r="C27" s="79"/>
      <c r="D27" s="79"/>
      <c r="E27" s="79"/>
      <c r="F27" s="79">
        <v>1214.6199999999999</v>
      </c>
      <c r="G27" s="79">
        <v>899.45</v>
      </c>
      <c r="H27" s="79">
        <v>4138.97</v>
      </c>
      <c r="I27" s="79">
        <v>707.2</v>
      </c>
      <c r="J27" s="79">
        <v>936.13</v>
      </c>
      <c r="K27" s="79">
        <v>1007.91</v>
      </c>
      <c r="L27" s="79">
        <v>1076.25</v>
      </c>
      <c r="M27" s="79">
        <v>3628.75</v>
      </c>
      <c r="N27" s="79">
        <v>699.83</v>
      </c>
      <c r="O27" s="79">
        <v>962.81</v>
      </c>
      <c r="P27" s="79">
        <v>766.93</v>
      </c>
      <c r="Q27" s="79"/>
      <c r="R27" s="79"/>
      <c r="S27" s="79"/>
      <c r="T27" s="79"/>
      <c r="U27" s="79"/>
      <c r="V27" s="79"/>
      <c r="W27" s="79"/>
      <c r="X27" s="80"/>
    </row>
    <row r="28" spans="1:24">
      <c r="A28" s="84" t="s">
        <v>344</v>
      </c>
      <c r="B28" s="76">
        <v>49486.59</v>
      </c>
      <c r="C28" s="76"/>
      <c r="D28" s="76"/>
      <c r="E28" s="76"/>
      <c r="F28" s="76">
        <v>38986.980000000003</v>
      </c>
      <c r="G28" s="76">
        <v>47008.24</v>
      </c>
      <c r="H28" s="76">
        <v>48777.120000000003</v>
      </c>
      <c r="I28" s="76">
        <v>32397.33</v>
      </c>
      <c r="J28" s="76">
        <v>18841.009999999998</v>
      </c>
      <c r="K28" s="76">
        <v>22565.55</v>
      </c>
      <c r="L28" s="76">
        <v>22060.92</v>
      </c>
      <c r="M28" s="76">
        <v>35101.86</v>
      </c>
      <c r="N28" s="76">
        <v>23680.52</v>
      </c>
      <c r="O28" s="76">
        <v>22112.2</v>
      </c>
      <c r="P28" s="76">
        <v>19400.18</v>
      </c>
      <c r="Q28" s="76"/>
      <c r="R28" s="76"/>
      <c r="S28" s="76"/>
      <c r="T28" s="76"/>
      <c r="U28" s="76"/>
      <c r="V28" s="76"/>
      <c r="W28" s="76"/>
      <c r="X28" s="81"/>
    </row>
    <row r="29" spans="1:24">
      <c r="A29" s="85" t="s">
        <v>345</v>
      </c>
      <c r="B29" s="79">
        <v>172701.18</v>
      </c>
      <c r="C29" s="79"/>
      <c r="D29" s="79"/>
      <c r="E29" s="79"/>
      <c r="F29" s="79">
        <v>41266.14</v>
      </c>
      <c r="G29" s="79">
        <v>32960.769999999997</v>
      </c>
      <c r="H29" s="79">
        <v>146895.92000000001</v>
      </c>
      <c r="I29" s="79">
        <v>22288.43</v>
      </c>
      <c r="J29" s="79">
        <v>62212.91</v>
      </c>
      <c r="K29" s="79">
        <v>43102.44</v>
      </c>
      <c r="L29" s="79">
        <v>44220.86</v>
      </c>
      <c r="M29" s="79">
        <v>169581.2</v>
      </c>
      <c r="N29" s="79">
        <v>27390.51</v>
      </c>
      <c r="O29" s="79">
        <v>42056.47</v>
      </c>
      <c r="P29" s="79">
        <v>43741.63</v>
      </c>
      <c r="Q29" s="79"/>
      <c r="R29" s="79"/>
      <c r="S29" s="79"/>
      <c r="T29" s="79"/>
      <c r="U29" s="79"/>
      <c r="V29" s="79"/>
      <c r="W29" s="79"/>
      <c r="X29" s="80"/>
    </row>
    <row r="30" spans="1:24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81"/>
    </row>
    <row r="31" spans="1:24">
      <c r="A31" s="85" t="s">
        <v>339</v>
      </c>
      <c r="B31" s="79">
        <v>6923.06</v>
      </c>
      <c r="C31" s="79"/>
      <c r="D31" s="79"/>
      <c r="E31" s="79"/>
      <c r="F31" s="79">
        <v>7015.63</v>
      </c>
      <c r="G31" s="79">
        <v>7917.45</v>
      </c>
      <c r="H31" s="79">
        <v>6163.19</v>
      </c>
      <c r="I31" s="79">
        <v>6836.94</v>
      </c>
      <c r="J31" s="79">
        <v>4771.17</v>
      </c>
      <c r="K31" s="79">
        <v>6295.69</v>
      </c>
      <c r="L31" s="79">
        <v>5756.9</v>
      </c>
      <c r="M31" s="79">
        <v>6836.94</v>
      </c>
      <c r="N31" s="79">
        <v>5864.64</v>
      </c>
      <c r="O31" s="79">
        <v>6341.88</v>
      </c>
      <c r="P31" s="79">
        <v>6678.56</v>
      </c>
      <c r="Q31" s="79"/>
      <c r="R31" s="79"/>
      <c r="S31" s="79"/>
      <c r="T31" s="79"/>
      <c r="U31" s="79"/>
      <c r="V31" s="79"/>
      <c r="W31" s="79"/>
      <c r="X31" s="80"/>
    </row>
    <row r="32" spans="1:24">
      <c r="A32" s="84" t="s">
        <v>340</v>
      </c>
      <c r="B32" s="76">
        <v>25031.64</v>
      </c>
      <c r="C32" s="76"/>
      <c r="D32" s="76"/>
      <c r="E32" s="76"/>
      <c r="F32" s="76">
        <v>5043.07</v>
      </c>
      <c r="G32" s="76">
        <v>5021.3</v>
      </c>
      <c r="H32" s="76">
        <v>20779.689999999999</v>
      </c>
      <c r="I32" s="76">
        <v>0</v>
      </c>
      <c r="J32" s="76">
        <v>5460.37</v>
      </c>
      <c r="K32" s="76">
        <v>5218.7</v>
      </c>
      <c r="L32" s="76">
        <v>5387.93</v>
      </c>
      <c r="M32" s="76">
        <v>18831.55</v>
      </c>
      <c r="N32" s="76">
        <v>3057.48</v>
      </c>
      <c r="O32" s="76">
        <v>4866.33</v>
      </c>
      <c r="P32" s="76">
        <v>5087.7700000000004</v>
      </c>
      <c r="Q32" s="76"/>
      <c r="R32" s="76"/>
      <c r="S32" s="76"/>
      <c r="T32" s="76"/>
      <c r="U32" s="76"/>
      <c r="V32" s="76"/>
      <c r="W32" s="76"/>
      <c r="X32" s="81"/>
    </row>
    <row r="33" spans="1:24">
      <c r="A33" s="85" t="s">
        <v>341</v>
      </c>
      <c r="B33" s="79">
        <v>0</v>
      </c>
      <c r="C33" s="79"/>
      <c r="D33" s="79"/>
      <c r="E33" s="79"/>
      <c r="F33" s="79">
        <v>0</v>
      </c>
      <c r="G33" s="79">
        <v>-51.09</v>
      </c>
      <c r="H33" s="79">
        <v>-51.09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/>
      <c r="R33" s="79"/>
      <c r="S33" s="79"/>
      <c r="T33" s="79"/>
      <c r="U33" s="79"/>
      <c r="V33" s="79"/>
      <c r="W33" s="79"/>
      <c r="X33" s="80"/>
    </row>
    <row r="34" spans="1:24">
      <c r="A34" s="84" t="s">
        <v>342</v>
      </c>
      <c r="B34" s="76">
        <v>160.81</v>
      </c>
      <c r="C34" s="76"/>
      <c r="D34" s="76"/>
      <c r="E34" s="76"/>
      <c r="F34" s="76">
        <v>-287.91000000000003</v>
      </c>
      <c r="G34" s="76">
        <v>-296.64</v>
      </c>
      <c r="H34" s="76">
        <v>-313.64</v>
      </c>
      <c r="I34" s="76">
        <v>197.06</v>
      </c>
      <c r="J34" s="76">
        <v>369.59</v>
      </c>
      <c r="K34" s="76">
        <v>0</v>
      </c>
      <c r="L34" s="76">
        <v>0</v>
      </c>
      <c r="M34" s="76">
        <v>542.36</v>
      </c>
      <c r="N34" s="76">
        <v>-11.62</v>
      </c>
      <c r="O34" s="76">
        <v>57.51</v>
      </c>
      <c r="P34" s="76">
        <v>0</v>
      </c>
      <c r="Q34" s="76"/>
      <c r="R34" s="76"/>
      <c r="S34" s="76"/>
      <c r="T34" s="76"/>
      <c r="U34" s="76"/>
      <c r="V34" s="76"/>
      <c r="W34" s="76"/>
      <c r="X34" s="81"/>
    </row>
    <row r="35" spans="1:24">
      <c r="A35" s="85" t="s">
        <v>343</v>
      </c>
      <c r="B35" s="79">
        <v>271.60000000000002</v>
      </c>
      <c r="C35" s="79"/>
      <c r="D35" s="79"/>
      <c r="E35" s="79"/>
      <c r="F35" s="79">
        <v>82.66</v>
      </c>
      <c r="G35" s="79">
        <v>61.22</v>
      </c>
      <c r="H35" s="79">
        <v>281.05</v>
      </c>
      <c r="I35" s="79">
        <v>49.86</v>
      </c>
      <c r="J35" s="79">
        <v>66.34</v>
      </c>
      <c r="K35" s="79">
        <v>68.31</v>
      </c>
      <c r="L35" s="79">
        <v>72.86</v>
      </c>
      <c r="M35" s="79">
        <v>249.64</v>
      </c>
      <c r="N35" s="79">
        <v>44.17</v>
      </c>
      <c r="O35" s="79">
        <v>64.92</v>
      </c>
      <c r="P35" s="79">
        <v>56.47</v>
      </c>
      <c r="Q35" s="79"/>
      <c r="R35" s="79"/>
      <c r="S35" s="79"/>
      <c r="T35" s="79"/>
      <c r="U35" s="79"/>
      <c r="V35" s="79"/>
      <c r="W35" s="79"/>
      <c r="X35" s="80"/>
    </row>
    <row r="36" spans="1:24">
      <c r="A36" s="84" t="s">
        <v>344</v>
      </c>
      <c r="B36" s="76">
        <v>6163.19</v>
      </c>
      <c r="C36" s="76"/>
      <c r="D36" s="76"/>
      <c r="E36" s="76"/>
      <c r="F36" s="76">
        <v>6995.44</v>
      </c>
      <c r="G36" s="76">
        <v>8739.49</v>
      </c>
      <c r="H36" s="76">
        <v>6836.94</v>
      </c>
      <c r="I36" s="76">
        <v>4297.2700000000004</v>
      </c>
      <c r="J36" s="76">
        <v>5617.17</v>
      </c>
      <c r="K36" s="76">
        <v>5108.46</v>
      </c>
      <c r="L36" s="76">
        <v>6144.09</v>
      </c>
      <c r="M36" s="76">
        <v>5864.64</v>
      </c>
      <c r="N36" s="76">
        <v>5606.94</v>
      </c>
      <c r="O36" s="76">
        <v>5946.5</v>
      </c>
      <c r="P36" s="76">
        <v>6482.42</v>
      </c>
      <c r="Q36" s="76"/>
      <c r="R36" s="76"/>
      <c r="S36" s="76"/>
      <c r="T36" s="76"/>
      <c r="U36" s="76"/>
      <c r="V36" s="76"/>
      <c r="W36" s="76"/>
      <c r="X36" s="81"/>
    </row>
    <row r="37" spans="1:24">
      <c r="A37" s="85" t="s">
        <v>345</v>
      </c>
      <c r="B37" s="82">
        <v>25680.71</v>
      </c>
      <c r="C37" s="82"/>
      <c r="D37" s="82"/>
      <c r="E37" s="82"/>
      <c r="F37" s="82">
        <v>4692.68</v>
      </c>
      <c r="G37" s="82">
        <v>3790.32</v>
      </c>
      <c r="H37" s="82">
        <v>19460.169999999998</v>
      </c>
      <c r="I37" s="82">
        <v>2686.87</v>
      </c>
      <c r="J37" s="82">
        <v>4917.62</v>
      </c>
      <c r="K37" s="82">
        <v>6337.63</v>
      </c>
      <c r="L37" s="82">
        <v>4927.8900000000003</v>
      </c>
      <c r="M37" s="82">
        <v>20096.560000000001</v>
      </c>
      <c r="N37" s="82">
        <v>3259.4</v>
      </c>
      <c r="O37" s="82">
        <v>5254.31</v>
      </c>
      <c r="P37" s="82">
        <v>5227.4399999999996</v>
      </c>
      <c r="Q37" s="82"/>
      <c r="R37" s="82"/>
      <c r="S37" s="82"/>
      <c r="T37" s="82"/>
      <c r="U37" s="82"/>
      <c r="V37" s="82"/>
      <c r="W37" s="82"/>
      <c r="X37" s="83"/>
    </row>
    <row r="40" spans="1:24">
      <c r="A40" t="s">
        <v>17</v>
      </c>
    </row>
    <row r="41" spans="1:24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4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4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4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4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4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4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4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X8" xr:uid="{00000000-0002-0000-07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W200"/>
  <sheetViews>
    <sheetView zoomScale="120" zoomScaleNormal="120" workbookViewId="0">
      <pane xSplit="1" ySplit="7" topLeftCell="B13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10422</v>
      </c>
      <c r="C1" s="55" t="s">
        <v>9</v>
      </c>
      <c r="D1" s="74">
        <f>_xlfn.XLOOKUP(B1,'FC-Inv Setup'!A3:A22,'FC-Inv Setup'!I3:I22)</f>
        <v>46051</v>
      </c>
      <c r="E1" s="71"/>
      <c r="F1" s="47" t="s">
        <v>7</v>
      </c>
      <c r="G1" s="47"/>
      <c r="H1" s="47"/>
      <c r="I1" s="47" t="s">
        <v>8</v>
      </c>
      <c r="M1" s="63" t="s">
        <v>126</v>
      </c>
      <c r="N1" s="70" t="s">
        <v>127</v>
      </c>
    </row>
    <row r="2" spans="1:23">
      <c r="A2" s="54" t="s">
        <v>3</v>
      </c>
      <c r="B2" s="73" t="str">
        <f>_xlfn.XLOOKUP(B1,'FC-Inv Setup'!A3:A22,'FC-Inv Setup'!C3:C22)</f>
        <v>Ashley Podroza</v>
      </c>
      <c r="C2" s="54" t="s">
        <v>125</v>
      </c>
      <c r="D2" s="73" t="str">
        <f>_xlfn.XLOOKUP(B1,'FC-Inv Setup'!A3:A22,'FC-Inv Setup'!K3:K22)</f>
        <v>High</v>
      </c>
    </row>
    <row r="3" spans="1:23">
      <c r="A3" s="54" t="s">
        <v>4</v>
      </c>
      <c r="B3" s="73" t="str">
        <f>_xlfn.XLOOKUP(B1,'FC-Inv Setup'!A3:A22,'FC-Inv Setup'!D3:D22)</f>
        <v>Ashleyh Hegwer</v>
      </c>
      <c r="D3" s="73"/>
    </row>
    <row r="4" spans="1:23">
      <c r="A4" s="54" t="s">
        <v>124</v>
      </c>
      <c r="B4" s="73" t="str">
        <f>_xlfn.XLOOKUP(B1,'FC-Inv Setup'!A3:A22,'FC-Inv Setup'!E3:E22)</f>
        <v>Ashley</v>
      </c>
      <c r="D4" s="73"/>
    </row>
    <row r="5" spans="1:23">
      <c r="A5" s="54" t="s">
        <v>10</v>
      </c>
      <c r="B5" s="73" t="str">
        <f>_xlfn.XLOOKUP(B1,'FC-Inv Setup'!A3:A22,'FC-Inv Setup'!J3:J22)</f>
        <v>Saturday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46025</v>
      </c>
      <c r="D7" s="86">
        <v>46032</v>
      </c>
      <c r="E7" s="86">
        <v>46039</v>
      </c>
      <c r="F7" s="86">
        <v>46046</v>
      </c>
      <c r="G7" s="75">
        <v>46053</v>
      </c>
      <c r="H7" s="75">
        <v>46053</v>
      </c>
      <c r="I7" s="75">
        <v>46060</v>
      </c>
      <c r="J7" s="75">
        <v>46067</v>
      </c>
      <c r="K7" s="75">
        <v>46074</v>
      </c>
      <c r="L7" s="75">
        <v>46081</v>
      </c>
      <c r="M7" s="75" t="s">
        <v>316</v>
      </c>
      <c r="N7" s="75">
        <v>46088</v>
      </c>
      <c r="O7" s="75">
        <v>46095</v>
      </c>
      <c r="P7" s="75">
        <v>46102</v>
      </c>
      <c r="Q7" s="75">
        <v>46109</v>
      </c>
      <c r="R7" s="75" t="s">
        <v>317</v>
      </c>
      <c r="S7" s="75">
        <v>46116</v>
      </c>
      <c r="T7" s="75">
        <v>46123</v>
      </c>
      <c r="U7" s="75">
        <v>46130</v>
      </c>
      <c r="V7" s="75">
        <v>46137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10</v>
      </c>
      <c r="H8" s="89" t="s">
        <v>324</v>
      </c>
      <c r="I8" s="77" t="s">
        <v>10</v>
      </c>
      <c r="J8" s="77" t="s">
        <v>10</v>
      </c>
      <c r="K8" s="77" t="s">
        <v>10</v>
      </c>
      <c r="L8" s="77" t="s">
        <v>10</v>
      </c>
      <c r="M8" s="77" t="s">
        <v>324</v>
      </c>
      <c r="N8" s="77" t="s">
        <v>10</v>
      </c>
      <c r="O8" s="77" t="s">
        <v>10</v>
      </c>
      <c r="P8" s="77" t="s">
        <v>10</v>
      </c>
      <c r="Q8" s="77" t="s">
        <v>10</v>
      </c>
      <c r="R8" s="77" t="s">
        <v>10</v>
      </c>
      <c r="S8" s="77" t="s">
        <v>324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>
        <v>404646.58</v>
      </c>
      <c r="C9" s="79"/>
      <c r="D9" s="79"/>
      <c r="E9" s="79">
        <v>88847.94</v>
      </c>
      <c r="F9" s="79">
        <v>76371.55</v>
      </c>
      <c r="G9" s="79">
        <v>62172.89</v>
      </c>
      <c r="H9" s="79">
        <v>326528.93</v>
      </c>
      <c r="I9" s="79">
        <v>81699.740000000005</v>
      </c>
      <c r="J9" s="79">
        <v>93483.49</v>
      </c>
      <c r="K9" s="79">
        <v>98883.53</v>
      </c>
      <c r="L9" s="79">
        <v>101436.11</v>
      </c>
      <c r="M9" s="79">
        <v>337651.74</v>
      </c>
      <c r="N9" s="79">
        <v>88666.72</v>
      </c>
      <c r="O9" s="79">
        <v>104333.98</v>
      </c>
      <c r="P9" s="79">
        <v>117772.86</v>
      </c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>
        <v>3.49</v>
      </c>
      <c r="C10" s="76"/>
      <c r="D10" s="76"/>
      <c r="E10" s="76">
        <v>2.64</v>
      </c>
      <c r="F10" s="76">
        <v>3.11</v>
      </c>
      <c r="G10" s="76">
        <v>7.35</v>
      </c>
      <c r="H10" s="76">
        <v>3.96</v>
      </c>
      <c r="I10" s="76">
        <v>3.21</v>
      </c>
      <c r="J10" s="76">
        <v>3.17</v>
      </c>
      <c r="K10" s="76">
        <v>3.1890000000000001</v>
      </c>
      <c r="L10" s="76">
        <v>4.2699999999999996</v>
      </c>
      <c r="M10" s="76">
        <v>3.52</v>
      </c>
      <c r="N10" s="76">
        <v>3.05</v>
      </c>
      <c r="O10" s="76">
        <v>3.18</v>
      </c>
      <c r="P10" s="76">
        <v>3.21</v>
      </c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>
        <v>14118.28</v>
      </c>
      <c r="C11" s="79"/>
      <c r="D11" s="79"/>
      <c r="E11" s="79">
        <v>2342.13</v>
      </c>
      <c r="F11" s="79">
        <v>2377.5</v>
      </c>
      <c r="G11" s="79">
        <v>4572.3599999999997</v>
      </c>
      <c r="H11" s="79">
        <v>12930.41</v>
      </c>
      <c r="I11" s="79">
        <v>2621.04</v>
      </c>
      <c r="J11" s="79">
        <v>2966.64</v>
      </c>
      <c r="K11" s="79">
        <v>3141.14</v>
      </c>
      <c r="L11" s="79">
        <v>4332.2</v>
      </c>
      <c r="M11" s="79">
        <v>11871.7</v>
      </c>
      <c r="N11" s="79">
        <v>2703.24</v>
      </c>
      <c r="O11" s="79">
        <v>33156.730000000003</v>
      </c>
      <c r="P11" s="79">
        <v>3782.14</v>
      </c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>
        <v>0.25</v>
      </c>
      <c r="C12" s="76"/>
      <c r="D12" s="76"/>
      <c r="E12" s="76">
        <v>0.18</v>
      </c>
      <c r="F12" s="76">
        <v>0.36</v>
      </c>
      <c r="G12" s="76">
        <v>0.3</v>
      </c>
      <c r="H12" s="76">
        <v>0.3</v>
      </c>
      <c r="I12" s="76">
        <v>0.21</v>
      </c>
      <c r="J12" s="76">
        <v>0.23</v>
      </c>
      <c r="K12" s="76">
        <v>0.32</v>
      </c>
      <c r="L12" s="76">
        <v>0.2</v>
      </c>
      <c r="M12" s="76">
        <v>0.25</v>
      </c>
      <c r="N12" s="76">
        <v>0.31</v>
      </c>
      <c r="O12" s="88">
        <v>0.21</v>
      </c>
      <c r="P12" s="76">
        <v>0.21</v>
      </c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>
        <v>0.13</v>
      </c>
      <c r="C13" s="79"/>
      <c r="D13" s="79"/>
      <c r="E13" s="79">
        <v>0.13</v>
      </c>
      <c r="F13" s="79">
        <v>0.09</v>
      </c>
      <c r="G13" s="79">
        <v>0.13</v>
      </c>
      <c r="H13" s="79">
        <v>0.11</v>
      </c>
      <c r="I13" s="79">
        <v>0.26</v>
      </c>
      <c r="J13" s="79">
        <v>0.16</v>
      </c>
      <c r="K13" s="79">
        <v>0.18</v>
      </c>
      <c r="L13" s="79">
        <v>0.13</v>
      </c>
      <c r="M13" s="79">
        <v>0.18</v>
      </c>
      <c r="N13" s="79">
        <v>0.35</v>
      </c>
      <c r="O13" s="79">
        <v>0.25</v>
      </c>
      <c r="P13" s="79">
        <v>0.27</v>
      </c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>
        <v>1.88</v>
      </c>
      <c r="C14" s="76"/>
      <c r="D14" s="76"/>
      <c r="E14" s="76">
        <v>1.62</v>
      </c>
      <c r="F14" s="76">
        <v>1.99</v>
      </c>
      <c r="G14" s="76">
        <v>2.2999999999999998</v>
      </c>
      <c r="H14" s="76">
        <v>1.96</v>
      </c>
      <c r="I14" s="76">
        <v>1.96</v>
      </c>
      <c r="J14" s="76">
        <v>2</v>
      </c>
      <c r="K14" s="76">
        <v>1.95</v>
      </c>
      <c r="L14" s="76">
        <v>1.83</v>
      </c>
      <c r="M14" s="76">
        <v>1.94</v>
      </c>
      <c r="N14" s="76">
        <v>1.97</v>
      </c>
      <c r="O14" s="76">
        <v>1.76</v>
      </c>
      <c r="P14" s="76">
        <v>1.67</v>
      </c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>
        <v>0.14000000000000001</v>
      </c>
      <c r="C15" s="79"/>
      <c r="D15" s="79"/>
      <c r="E15" s="79">
        <v>0.23</v>
      </c>
      <c r="F15" s="79">
        <v>0.16</v>
      </c>
      <c r="G15" s="79">
        <v>0.23</v>
      </c>
      <c r="H15" s="79">
        <v>0.19</v>
      </c>
      <c r="I15" s="79">
        <v>0.13</v>
      </c>
      <c r="J15" s="79">
        <v>0.15</v>
      </c>
      <c r="K15" s="79">
        <v>0.14000000000000001</v>
      </c>
      <c r="L15" s="79">
        <v>0.12</v>
      </c>
      <c r="M15" s="79">
        <v>0.13</v>
      </c>
      <c r="N15" s="79">
        <v>0.15</v>
      </c>
      <c r="O15" s="79">
        <v>0.13</v>
      </c>
      <c r="P15" s="79">
        <v>0.12</v>
      </c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>
        <v>1.77</v>
      </c>
      <c r="C16" s="76"/>
      <c r="D16" s="76"/>
      <c r="E16" s="76">
        <v>1.84</v>
      </c>
      <c r="F16" s="76">
        <v>3.42</v>
      </c>
      <c r="G16" s="76">
        <v>5.4</v>
      </c>
      <c r="H16" s="76">
        <v>2.72</v>
      </c>
      <c r="I16" s="76">
        <v>1.51</v>
      </c>
      <c r="J16" s="76">
        <v>3.63</v>
      </c>
      <c r="K16" s="76">
        <v>3.13</v>
      </c>
      <c r="L16" s="76">
        <v>2.19</v>
      </c>
      <c r="M16" s="76">
        <v>1.82</v>
      </c>
      <c r="N16" s="76">
        <v>3.28</v>
      </c>
      <c r="O16" s="76">
        <v>3.27</v>
      </c>
      <c r="P16" s="76">
        <v>2.96</v>
      </c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>
        <v>-0.04</v>
      </c>
      <c r="C17" s="79"/>
      <c r="D17" s="79"/>
      <c r="E17" s="79">
        <v>-3.54</v>
      </c>
      <c r="F17" s="79">
        <v>-0.01</v>
      </c>
      <c r="G17" s="79">
        <v>-0.02</v>
      </c>
      <c r="H17" s="79">
        <v>-0.06</v>
      </c>
      <c r="I17" s="79">
        <v>0.09</v>
      </c>
      <c r="J17" s="79">
        <v>-0.06</v>
      </c>
      <c r="K17" s="79">
        <v>0.01</v>
      </c>
      <c r="L17" s="79">
        <v>-0.04</v>
      </c>
      <c r="M17" s="79">
        <v>0</v>
      </c>
      <c r="N17" s="79">
        <v>-0.03</v>
      </c>
      <c r="O17" s="79">
        <v>-0.03</v>
      </c>
      <c r="P17" s="79">
        <v>-0.02</v>
      </c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>
        <v>4.13</v>
      </c>
      <c r="C18" s="76"/>
      <c r="D18" s="76"/>
      <c r="E18" s="76">
        <v>0.46</v>
      </c>
      <c r="F18" s="76">
        <v>6.01</v>
      </c>
      <c r="G18" s="76">
        <v>8.34</v>
      </c>
      <c r="H18" s="76">
        <v>5.22</v>
      </c>
      <c r="I18" s="76">
        <v>4.16</v>
      </c>
      <c r="J18" s="76">
        <v>6.11</v>
      </c>
      <c r="K18" s="76">
        <v>5.73</v>
      </c>
      <c r="L18" s="76">
        <v>4.43</v>
      </c>
      <c r="M18" s="76">
        <v>4.32</v>
      </c>
      <c r="N18" s="76">
        <v>6.03</v>
      </c>
      <c r="O18" s="76">
        <v>5.59</v>
      </c>
      <c r="P18" s="76">
        <v>5.21</v>
      </c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>
        <v>22.8061863248907</v>
      </c>
      <c r="C19" s="79"/>
      <c r="D19" s="79"/>
      <c r="E19" s="79">
        <v>23.269135225528998</v>
      </c>
      <c r="F19" s="79">
        <v>23.213589676450201</v>
      </c>
      <c r="G19" s="79">
        <v>23.843992574569299</v>
      </c>
      <c r="H19" s="79">
        <v>23.3507906257766</v>
      </c>
      <c r="I19" s="79">
        <v>23.306814161317899</v>
      </c>
      <c r="J19" s="79">
        <v>23.1345143194687</v>
      </c>
      <c r="K19" s="79">
        <v>23.092777907113302</v>
      </c>
      <c r="L19" s="79">
        <v>23.0091201880395</v>
      </c>
      <c r="M19" s="79">
        <v>23.141136132362</v>
      </c>
      <c r="N19" s="79">
        <v>23.2992037905376</v>
      </c>
      <c r="O19" s="79">
        <v>23.3422147404786</v>
      </c>
      <c r="P19" s="79">
        <v>23.1976833108682</v>
      </c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>
        <v>1.18</v>
      </c>
      <c r="C20" s="76"/>
      <c r="D20" s="76"/>
      <c r="E20" s="76">
        <v>1.22</v>
      </c>
      <c r="F20" s="76">
        <v>1.26</v>
      </c>
      <c r="G20" s="76">
        <v>1.36</v>
      </c>
      <c r="H20" s="76">
        <v>1.25</v>
      </c>
      <c r="I20" s="76">
        <v>1.18</v>
      </c>
      <c r="J20" s="76">
        <v>1.19</v>
      </c>
      <c r="K20" s="76">
        <v>1.23</v>
      </c>
      <c r="L20" s="76">
        <v>1.33</v>
      </c>
      <c r="M20" s="76">
        <v>1.24</v>
      </c>
      <c r="N20" s="76">
        <v>1.36</v>
      </c>
      <c r="O20" s="76">
        <v>1.42</v>
      </c>
      <c r="P20" s="76">
        <v>1.35</v>
      </c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>
        <v>28.11</v>
      </c>
      <c r="C21" s="79"/>
      <c r="D21" s="79"/>
      <c r="E21" s="79">
        <v>24.95</v>
      </c>
      <c r="F21" s="79">
        <v>30.48</v>
      </c>
      <c r="G21" s="79">
        <v>33.549999999999997</v>
      </c>
      <c r="H21" s="79">
        <v>29.82</v>
      </c>
      <c r="I21" s="79">
        <v>28.65</v>
      </c>
      <c r="J21" s="79">
        <v>30.43</v>
      </c>
      <c r="K21" s="79">
        <v>30.05</v>
      </c>
      <c r="L21" s="79">
        <v>28.77</v>
      </c>
      <c r="M21" s="79">
        <v>28.71</v>
      </c>
      <c r="N21" s="79">
        <v>30.68</v>
      </c>
      <c r="O21" s="79">
        <v>30.35</v>
      </c>
      <c r="P21" s="79">
        <v>29.75</v>
      </c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>
        <v>23615.85</v>
      </c>
      <c r="C23" s="79"/>
      <c r="D23" s="79"/>
      <c r="E23" s="79">
        <v>18596</v>
      </c>
      <c r="F23" s="79">
        <v>22363.08</v>
      </c>
      <c r="G23" s="79">
        <v>26552.28</v>
      </c>
      <c r="H23" s="79">
        <v>29533.52</v>
      </c>
      <c r="I23" s="79">
        <v>21668.799999999999</v>
      </c>
      <c r="J23" s="79">
        <v>20756.259999999998</v>
      </c>
      <c r="K23" s="79">
        <v>20207.3</v>
      </c>
      <c r="L23" s="79">
        <v>22869.64</v>
      </c>
      <c r="M23" s="79">
        <v>21668.799999999999</v>
      </c>
      <c r="N23" s="79">
        <v>20307.150000000001</v>
      </c>
      <c r="O23" s="79">
        <v>22789.78</v>
      </c>
      <c r="P23" s="79">
        <v>21570.959999999999</v>
      </c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>
        <v>124119.79</v>
      </c>
      <c r="C24" s="76"/>
      <c r="D24" s="76"/>
      <c r="E24" s="76">
        <v>22739.59</v>
      </c>
      <c r="F24" s="76">
        <v>25756.55</v>
      </c>
      <c r="G24" s="76">
        <v>16890.060000000001</v>
      </c>
      <c r="H24" s="76">
        <v>92958.96</v>
      </c>
      <c r="I24" s="76">
        <v>18832.28</v>
      </c>
      <c r="J24" s="76">
        <v>25099.759999999998</v>
      </c>
      <c r="K24" s="76">
        <v>28247.05</v>
      </c>
      <c r="L24" s="76">
        <v>27618.67</v>
      </c>
      <c r="M24" s="76">
        <v>99797.759999999995</v>
      </c>
      <c r="N24" s="76">
        <v>24892.880000000001</v>
      </c>
      <c r="O24" s="76">
        <v>26467.56</v>
      </c>
      <c r="P24" s="76">
        <v>28540.27</v>
      </c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>
        <v>0</v>
      </c>
      <c r="C25" s="79"/>
      <c r="D25" s="79"/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>
        <v>-1008.03</v>
      </c>
      <c r="C26" s="76"/>
      <c r="D26" s="76"/>
      <c r="E26" s="76">
        <v>164.45</v>
      </c>
      <c r="F26" s="76">
        <v>0</v>
      </c>
      <c r="G26" s="76">
        <v>-313.26</v>
      </c>
      <c r="H26" s="76">
        <v>-160.88</v>
      </c>
      <c r="I26" s="76">
        <v>68.13</v>
      </c>
      <c r="J26" s="76">
        <v>-1143.21</v>
      </c>
      <c r="K26" s="76">
        <v>-121.81</v>
      </c>
      <c r="L26" s="76">
        <v>-16.16</v>
      </c>
      <c r="M26" s="76">
        <v>-1105.9000000000001</v>
      </c>
      <c r="N26" s="76">
        <v>-191.31</v>
      </c>
      <c r="O26" s="76">
        <v>-150.04</v>
      </c>
      <c r="P26" s="76">
        <v>445.51</v>
      </c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>
        <v>3462.12</v>
      </c>
      <c r="C27" s="79"/>
      <c r="D27" s="79"/>
      <c r="E27" s="79">
        <v>861.55</v>
      </c>
      <c r="F27" s="79">
        <v>899.88</v>
      </c>
      <c r="G27" s="79">
        <v>599.83000000000004</v>
      </c>
      <c r="H27" s="79">
        <v>3283.97</v>
      </c>
      <c r="I27" s="79">
        <v>681.05</v>
      </c>
      <c r="J27" s="79">
        <v>824.36</v>
      </c>
      <c r="K27" s="79">
        <v>955.21</v>
      </c>
      <c r="L27" s="79">
        <v>979.29</v>
      </c>
      <c r="M27" s="79">
        <v>3127.41</v>
      </c>
      <c r="N27" s="79">
        <v>770.77</v>
      </c>
      <c r="O27" s="79">
        <v>779.46</v>
      </c>
      <c r="P27" s="79">
        <v>942.48</v>
      </c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>
        <v>29533.52</v>
      </c>
      <c r="C28" s="76"/>
      <c r="D28" s="76"/>
      <c r="E28" s="76">
        <v>18471.900000000001</v>
      </c>
      <c r="F28" s="76">
        <v>23939.68</v>
      </c>
      <c r="G28" s="76">
        <v>21668.799999999999</v>
      </c>
      <c r="H28" s="76">
        <v>21668.799999999999</v>
      </c>
      <c r="I28" s="76">
        <v>16483.46</v>
      </c>
      <c r="J28" s="76">
        <v>15437.22</v>
      </c>
      <c r="K28" s="76">
        <v>17658.32</v>
      </c>
      <c r="L28" s="76">
        <v>20307.150000000001</v>
      </c>
      <c r="M28" s="76">
        <v>20307.150000000001</v>
      </c>
      <c r="N28" s="76">
        <v>17031.650000000001</v>
      </c>
      <c r="O28" s="76">
        <v>16663.060000000001</v>
      </c>
      <c r="P28" s="76">
        <v>14572.22</v>
      </c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>
        <v>113731.97</v>
      </c>
      <c r="C29" s="79"/>
      <c r="D29" s="79"/>
      <c r="E29" s="79">
        <v>22166.59</v>
      </c>
      <c r="F29" s="79">
        <v>23280.06</v>
      </c>
      <c r="G29" s="79">
        <v>20860.45</v>
      </c>
      <c r="H29" s="79">
        <v>97378.84</v>
      </c>
      <c r="I29" s="79">
        <v>23404.7</v>
      </c>
      <c r="J29" s="79">
        <v>28451.24</v>
      </c>
      <c r="K29" s="79">
        <v>29719</v>
      </c>
      <c r="L29" s="79">
        <v>29185.72</v>
      </c>
      <c r="M29" s="79">
        <v>96926.1</v>
      </c>
      <c r="N29" s="79">
        <v>27206.3</v>
      </c>
      <c r="O29" s="79">
        <v>31664.79</v>
      </c>
      <c r="P29" s="79">
        <v>35042.04</v>
      </c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>
        <v>5432.63</v>
      </c>
      <c r="C31" s="79"/>
      <c r="D31" s="79"/>
      <c r="E31" s="79">
        <v>5437.25</v>
      </c>
      <c r="F31" s="79">
        <v>5944.58</v>
      </c>
      <c r="G31" s="79">
        <v>7783.86</v>
      </c>
      <c r="H31" s="79">
        <v>6127.64</v>
      </c>
      <c r="I31" s="79">
        <v>5592.36</v>
      </c>
      <c r="J31" s="79">
        <v>4720.09</v>
      </c>
      <c r="K31" s="79">
        <v>5119</v>
      </c>
      <c r="L31" s="79">
        <v>5508.73</v>
      </c>
      <c r="M31" s="79">
        <v>5592.36</v>
      </c>
      <c r="N31" s="79">
        <v>4308.26</v>
      </c>
      <c r="O31" s="79">
        <v>4871.7700000000004</v>
      </c>
      <c r="P31" s="79">
        <v>5668.16</v>
      </c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>
        <v>15273.97</v>
      </c>
      <c r="C32" s="76"/>
      <c r="D32" s="76"/>
      <c r="E32" s="76">
        <v>2449.9699999999998</v>
      </c>
      <c r="F32" s="76">
        <v>3799.8</v>
      </c>
      <c r="G32" s="76">
        <v>2420.14</v>
      </c>
      <c r="H32" s="76">
        <v>12025.19</v>
      </c>
      <c r="I32" s="76">
        <v>1466.22</v>
      </c>
      <c r="J32" s="76">
        <v>3327.34</v>
      </c>
      <c r="K32" s="76">
        <v>3118.55</v>
      </c>
      <c r="L32" s="76">
        <v>3183.58</v>
      </c>
      <c r="M32" s="76">
        <v>11095.69</v>
      </c>
      <c r="N32" s="76">
        <v>2922.2</v>
      </c>
      <c r="O32" s="76">
        <v>3622.28</v>
      </c>
      <c r="P32" s="76">
        <v>4222.8999999999996</v>
      </c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>
        <v>0</v>
      </c>
      <c r="C33" s="79"/>
      <c r="D33" s="79"/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>
        <v>-229.91</v>
      </c>
      <c r="C34" s="76"/>
      <c r="D34" s="76"/>
      <c r="E34" s="76">
        <v>121.93</v>
      </c>
      <c r="F34" s="76">
        <v>395.52</v>
      </c>
      <c r="G34" s="76">
        <v>0</v>
      </c>
      <c r="H34" s="76">
        <v>585.97</v>
      </c>
      <c r="I34" s="76">
        <v>-43.93</v>
      </c>
      <c r="J34" s="76">
        <v>-263.29000000000002</v>
      </c>
      <c r="K34" s="76">
        <v>6.44</v>
      </c>
      <c r="L34" s="76">
        <v>14.36</v>
      </c>
      <c r="M34" s="76">
        <v>-292.86</v>
      </c>
      <c r="N34" s="76">
        <v>0.04</v>
      </c>
      <c r="O34" s="76">
        <v>17.96</v>
      </c>
      <c r="P34" s="76">
        <v>12.61</v>
      </c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>
        <v>230.77</v>
      </c>
      <c r="C35" s="79"/>
      <c r="D35" s="79"/>
      <c r="E35" s="79">
        <v>55.83</v>
      </c>
      <c r="F35" s="79">
        <v>61.01</v>
      </c>
      <c r="G35" s="79">
        <v>39.28</v>
      </c>
      <c r="H35" s="79">
        <v>216.04</v>
      </c>
      <c r="I35" s="79">
        <v>47.85</v>
      </c>
      <c r="J35" s="79">
        <v>57.23</v>
      </c>
      <c r="K35" s="79">
        <v>65.84</v>
      </c>
      <c r="L35" s="79">
        <v>66.209999999999994</v>
      </c>
      <c r="M35" s="79">
        <v>215.24</v>
      </c>
      <c r="N35" s="79">
        <v>51.75</v>
      </c>
      <c r="O35" s="79">
        <v>56.23</v>
      </c>
      <c r="P35" s="79">
        <v>68.989999999999995</v>
      </c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>
        <v>6127.64</v>
      </c>
      <c r="C36" s="76"/>
      <c r="D36" s="76"/>
      <c r="E36" s="76">
        <v>5611.19</v>
      </c>
      <c r="F36" s="76">
        <v>7701.39</v>
      </c>
      <c r="G36" s="76">
        <v>5592.36</v>
      </c>
      <c r="H36" s="76">
        <v>5592.36</v>
      </c>
      <c r="I36" s="76">
        <v>4345.7700000000004</v>
      </c>
      <c r="J36" s="76">
        <v>4760.2700000000004</v>
      </c>
      <c r="K36" s="76">
        <v>5037.01</v>
      </c>
      <c r="L36" s="76">
        <v>4308.26</v>
      </c>
      <c r="M36" s="76">
        <v>4308.26</v>
      </c>
      <c r="N36" s="76">
        <v>4475.51</v>
      </c>
      <c r="O36" s="76">
        <v>5140.0600000000004</v>
      </c>
      <c r="P36" s="76">
        <v>6052.53</v>
      </c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>
        <v>14118.28</v>
      </c>
      <c r="C37" s="82"/>
      <c r="D37" s="82"/>
      <c r="E37" s="82">
        <v>2342.13</v>
      </c>
      <c r="F37" s="82">
        <v>2377.5</v>
      </c>
      <c r="G37" s="82">
        <v>4572.3599999999997</v>
      </c>
      <c r="H37" s="82">
        <v>12930.41</v>
      </c>
      <c r="I37" s="82">
        <v>2621.04</v>
      </c>
      <c r="J37" s="82">
        <v>2966.64</v>
      </c>
      <c r="K37" s="82">
        <v>3141.14</v>
      </c>
      <c r="L37" s="82">
        <v>4332.2</v>
      </c>
      <c r="M37" s="82">
        <v>11871.7</v>
      </c>
      <c r="N37" s="82">
        <v>2703.24</v>
      </c>
      <c r="O37" s="82">
        <v>3315.73</v>
      </c>
      <c r="P37" s="82">
        <v>3782.14</v>
      </c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8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W200"/>
  <sheetViews>
    <sheetView zoomScale="120" zoomScaleNormal="120" workbookViewId="0">
      <pane xSplit="1" ySplit="7" topLeftCell="B9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10915</v>
      </c>
      <c r="C1" s="55" t="s">
        <v>9</v>
      </c>
      <c r="D1" s="74">
        <f>_xlfn.XLOOKUP(B1,'FC-Inv Setup'!A3:A22,'FC-Inv Setup'!I3:I22)</f>
        <v>46071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Steven Vaughn</v>
      </c>
      <c r="C2" s="54" t="s">
        <v>125</v>
      </c>
      <c r="D2" s="73" t="str">
        <f>_xlfn.XLOOKUP(B1,'FC-Inv Setup'!A3:A22,'FC-Inv Setup'!K3:K22)</f>
        <v>Medium</v>
      </c>
    </row>
    <row r="3" spans="1:23">
      <c r="A3" s="54" t="s">
        <v>4</v>
      </c>
      <c r="B3" s="73" t="str">
        <f>_xlfn.XLOOKUP(B1,'FC-Inv Setup'!A3:A22,'FC-Inv Setup'!D3:D22)</f>
        <v>Caleb Nunnelley</v>
      </c>
      <c r="D3" s="73"/>
    </row>
    <row r="4" spans="1:23">
      <c r="A4" s="54" t="s">
        <v>124</v>
      </c>
      <c r="B4" s="73" t="str">
        <f>_xlfn.XLOOKUP(B1,'FC-Inv Setup'!A3:A22,'FC-Inv Setup'!E3:E22)</f>
        <v>Caitlin</v>
      </c>
      <c r="D4" s="73"/>
    </row>
    <row r="5" spans="1:23">
      <c r="A5" s="54" t="s">
        <v>10</v>
      </c>
      <c r="B5" s="73" t="str">
        <f>_xlfn.XLOOKUP(B1,'FC-Inv Setup'!A3:A22,'FC-Inv Setup'!J3:J22)</f>
        <v>Wednesday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46029</v>
      </c>
      <c r="D7" s="86">
        <v>46036</v>
      </c>
      <c r="E7" s="86">
        <v>46043</v>
      </c>
      <c r="F7" s="86">
        <v>46050</v>
      </c>
      <c r="G7" s="75">
        <v>46053</v>
      </c>
      <c r="H7" s="75">
        <v>46057</v>
      </c>
      <c r="I7" s="75">
        <v>46064</v>
      </c>
      <c r="J7" s="75">
        <v>46071</v>
      </c>
      <c r="K7" s="75">
        <v>46078</v>
      </c>
      <c r="L7" s="75" t="s">
        <v>316</v>
      </c>
      <c r="M7" s="75">
        <v>46085</v>
      </c>
      <c r="N7" s="75">
        <v>46092</v>
      </c>
      <c r="O7" s="75">
        <v>46099</v>
      </c>
      <c r="P7" s="75">
        <v>46106</v>
      </c>
      <c r="Q7" s="75" t="s">
        <v>317</v>
      </c>
      <c r="R7" s="75">
        <v>46113</v>
      </c>
      <c r="S7" s="75">
        <v>46120</v>
      </c>
      <c r="T7" s="75">
        <v>46127</v>
      </c>
      <c r="U7" s="75">
        <v>46134</v>
      </c>
      <c r="V7" s="75">
        <v>46141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>
        <v>393680.36</v>
      </c>
      <c r="C9" s="79"/>
      <c r="D9" s="79"/>
      <c r="E9" s="79">
        <v>89759.88</v>
      </c>
      <c r="F9" s="79">
        <v>69761.649999999994</v>
      </c>
      <c r="G9" s="79">
        <v>330061.12</v>
      </c>
      <c r="H9" s="79">
        <v>46830.58</v>
      </c>
      <c r="I9" s="79">
        <v>95149.29</v>
      </c>
      <c r="J9" s="79">
        <v>92824.41</v>
      </c>
      <c r="K9" s="79">
        <v>101926.92</v>
      </c>
      <c r="L9" s="79">
        <v>348339.26</v>
      </c>
      <c r="M9" s="79">
        <v>52090.71</v>
      </c>
      <c r="N9" s="79">
        <v>105609.13</v>
      </c>
      <c r="O9" s="79">
        <v>102967.21</v>
      </c>
      <c r="P9" s="79">
        <v>100821.25</v>
      </c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>
        <v>5.96</v>
      </c>
      <c r="C10" s="76"/>
      <c r="D10" s="76"/>
      <c r="E10" s="76">
        <v>3.53</v>
      </c>
      <c r="F10" s="76">
        <v>5.57</v>
      </c>
      <c r="G10" s="76">
        <v>4.01</v>
      </c>
      <c r="H10" s="76">
        <v>3.64</v>
      </c>
      <c r="I10" s="76">
        <v>3.61</v>
      </c>
      <c r="J10" s="76">
        <v>3.58</v>
      </c>
      <c r="K10" s="76">
        <v>5.45</v>
      </c>
      <c r="L10" s="76">
        <v>4.1399999999999997</v>
      </c>
      <c r="M10" s="76">
        <v>3.35</v>
      </c>
      <c r="N10" s="76">
        <v>3.44</v>
      </c>
      <c r="O10" s="76">
        <v>3.49</v>
      </c>
      <c r="P10" s="76">
        <v>3.49</v>
      </c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>
        <v>23444.880000000001</v>
      </c>
      <c r="C11" s="79"/>
      <c r="D11" s="79"/>
      <c r="E11" s="79">
        <v>3166.79</v>
      </c>
      <c r="F11" s="79">
        <v>3884.64</v>
      </c>
      <c r="G11" s="79">
        <v>13250.66</v>
      </c>
      <c r="H11" s="79">
        <v>1706.73</v>
      </c>
      <c r="I11" s="79">
        <v>3430.28</v>
      </c>
      <c r="J11" s="79">
        <v>3326.33</v>
      </c>
      <c r="K11" s="79">
        <v>5558.5</v>
      </c>
      <c r="L11" s="79">
        <v>14410.4</v>
      </c>
      <c r="M11" s="79">
        <v>1744.27</v>
      </c>
      <c r="N11" s="79">
        <v>3634.15</v>
      </c>
      <c r="O11" s="79">
        <v>3588.85</v>
      </c>
      <c r="P11" s="79">
        <v>3516.21</v>
      </c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>
        <v>0.31</v>
      </c>
      <c r="C12" s="76"/>
      <c r="D12" s="76"/>
      <c r="E12" s="76">
        <v>0.3</v>
      </c>
      <c r="F12" s="76">
        <v>0.34</v>
      </c>
      <c r="G12" s="76">
        <v>0.28999999999999998</v>
      </c>
      <c r="H12" s="76">
        <v>0.36</v>
      </c>
      <c r="I12" s="76">
        <v>0.2</v>
      </c>
      <c r="J12" s="76">
        <v>0.25</v>
      </c>
      <c r="K12" s="76">
        <v>0.26</v>
      </c>
      <c r="L12" s="76">
        <v>0.26</v>
      </c>
      <c r="M12" s="76">
        <v>0.3</v>
      </c>
      <c r="N12" s="88">
        <v>0.31</v>
      </c>
      <c r="O12" s="76">
        <v>0.31</v>
      </c>
      <c r="P12" s="76">
        <v>0.3</v>
      </c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>
        <v>0.74</v>
      </c>
      <c r="C13" s="79"/>
      <c r="D13" s="79"/>
      <c r="E13" s="79">
        <v>0.86</v>
      </c>
      <c r="F13" s="79">
        <v>0.98</v>
      </c>
      <c r="G13" s="79">
        <v>0.87</v>
      </c>
      <c r="H13" s="79">
        <v>0.83</v>
      </c>
      <c r="I13" s="79">
        <v>0.83</v>
      </c>
      <c r="J13" s="79">
        <v>0.89</v>
      </c>
      <c r="K13" s="79">
        <v>0.74</v>
      </c>
      <c r="L13" s="79">
        <v>0.76</v>
      </c>
      <c r="M13" s="79">
        <v>0.76</v>
      </c>
      <c r="N13" s="79">
        <v>0.75</v>
      </c>
      <c r="O13" s="79">
        <v>0.64</v>
      </c>
      <c r="P13" s="79">
        <v>0.78</v>
      </c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>
        <v>2.15</v>
      </c>
      <c r="C14" s="76"/>
      <c r="D14" s="76"/>
      <c r="E14" s="76">
        <v>1.86</v>
      </c>
      <c r="F14" s="76">
        <v>2.12</v>
      </c>
      <c r="G14" s="76">
        <v>2.0699999999999998</v>
      </c>
      <c r="H14" s="76">
        <v>2.04</v>
      </c>
      <c r="I14" s="76">
        <v>2.04</v>
      </c>
      <c r="J14" s="76">
        <v>1.91</v>
      </c>
      <c r="K14" s="76">
        <v>2.66</v>
      </c>
      <c r="L14" s="76">
        <v>2.13</v>
      </c>
      <c r="M14" s="76">
        <v>2.13</v>
      </c>
      <c r="N14" s="76">
        <v>1.6</v>
      </c>
      <c r="O14" s="76">
        <v>1.72</v>
      </c>
      <c r="P14" s="76">
        <v>1.92</v>
      </c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>
        <v>0.56000000000000005</v>
      </c>
      <c r="C15" s="79"/>
      <c r="D15" s="79"/>
      <c r="E15" s="79">
        <v>0.55000000000000004</v>
      </c>
      <c r="F15" s="79">
        <v>0.6</v>
      </c>
      <c r="G15" s="79">
        <v>0.56999999999999995</v>
      </c>
      <c r="H15" s="79">
        <v>0.5</v>
      </c>
      <c r="I15" s="79">
        <v>0.45</v>
      </c>
      <c r="J15" s="79">
        <v>0.61</v>
      </c>
      <c r="K15" s="79">
        <v>0.4</v>
      </c>
      <c r="L15" s="79">
        <v>0.47</v>
      </c>
      <c r="M15" s="79">
        <v>0.37</v>
      </c>
      <c r="N15" s="79">
        <v>0.39</v>
      </c>
      <c r="O15" s="79">
        <v>0.43</v>
      </c>
      <c r="P15" s="79">
        <v>0.44</v>
      </c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>
        <v>0.3</v>
      </c>
      <c r="C16" s="76"/>
      <c r="D16" s="76"/>
      <c r="E16" s="76">
        <v>0.88</v>
      </c>
      <c r="F16" s="76">
        <v>0.06</v>
      </c>
      <c r="G16" s="76">
        <v>0.75</v>
      </c>
      <c r="H16" s="76">
        <v>-0.01</v>
      </c>
      <c r="I16" s="76">
        <v>-0.03</v>
      </c>
      <c r="J16" s="76">
        <v>0.67</v>
      </c>
      <c r="K16" s="76">
        <v>0.7</v>
      </c>
      <c r="L16" s="76">
        <v>0.53</v>
      </c>
      <c r="M16" s="76">
        <v>-0.05</v>
      </c>
      <c r="N16" s="76">
        <v>1.1599999999999999</v>
      </c>
      <c r="O16" s="76">
        <v>1.28</v>
      </c>
      <c r="P16" s="76">
        <v>0.87</v>
      </c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>
        <v>-0.01</v>
      </c>
      <c r="C17" s="79"/>
      <c r="D17" s="79"/>
      <c r="E17" s="79">
        <v>-0.02</v>
      </c>
      <c r="F17" s="79">
        <v>0.01</v>
      </c>
      <c r="G17" s="79">
        <v>-0.02</v>
      </c>
      <c r="H17" s="79">
        <v>-0.04</v>
      </c>
      <c r="I17" s="79">
        <v>-0.02</v>
      </c>
      <c r="J17" s="79">
        <v>0.13</v>
      </c>
      <c r="K17" s="79">
        <v>-0.02</v>
      </c>
      <c r="L17" s="79">
        <v>-0.04</v>
      </c>
      <c r="M17" s="79">
        <v>-0.05</v>
      </c>
      <c r="N17" s="79">
        <v>-0.04</v>
      </c>
      <c r="O17" s="79">
        <v>-0.02</v>
      </c>
      <c r="P17" s="79">
        <v>0.02</v>
      </c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>
        <v>4.05</v>
      </c>
      <c r="C18" s="76"/>
      <c r="D18" s="76"/>
      <c r="E18" s="76">
        <v>4.43</v>
      </c>
      <c r="F18" s="76">
        <v>4.1100000000000003</v>
      </c>
      <c r="G18" s="76">
        <v>4.53</v>
      </c>
      <c r="H18" s="76">
        <v>3.68</v>
      </c>
      <c r="I18" s="76">
        <v>3.47</v>
      </c>
      <c r="J18" s="76">
        <v>4.46</v>
      </c>
      <c r="K18" s="76">
        <v>4.74</v>
      </c>
      <c r="L18" s="76">
        <v>4.1100000000000003</v>
      </c>
      <c r="M18" s="76">
        <v>3.46</v>
      </c>
      <c r="N18" s="76">
        <v>4.17</v>
      </c>
      <c r="O18" s="76">
        <v>4.3600000000000003</v>
      </c>
      <c r="P18" s="76">
        <v>4.33</v>
      </c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>
        <v>23.431864277478802</v>
      </c>
      <c r="C19" s="79"/>
      <c r="D19" s="79"/>
      <c r="E19" s="79">
        <v>23.736005114965099</v>
      </c>
      <c r="F19" s="79">
        <v>24.1589440848017</v>
      </c>
      <c r="G19" s="79">
        <v>23.8115469920136</v>
      </c>
      <c r="H19" s="79">
        <v>23.892620767997101</v>
      </c>
      <c r="I19" s="79">
        <v>23.7897865685973</v>
      </c>
      <c r="J19" s="79">
        <v>23.6886919940168</v>
      </c>
      <c r="K19" s="79">
        <v>23.6077172063112</v>
      </c>
      <c r="L19" s="79">
        <v>23.653207958751899</v>
      </c>
      <c r="M19" s="79">
        <v>23.6001442713745</v>
      </c>
      <c r="N19" s="79">
        <v>23.807818959152002</v>
      </c>
      <c r="O19" s="79">
        <v>23.472675513964301</v>
      </c>
      <c r="P19" s="79">
        <v>23.4636113059432</v>
      </c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>
        <v>1.44</v>
      </c>
      <c r="C20" s="76"/>
      <c r="D20" s="76"/>
      <c r="E20" s="76">
        <v>1.55</v>
      </c>
      <c r="F20" s="76">
        <v>1.69</v>
      </c>
      <c r="G20" s="76">
        <v>1.59</v>
      </c>
      <c r="H20" s="76">
        <v>1.54</v>
      </c>
      <c r="I20" s="76">
        <v>1.52</v>
      </c>
      <c r="J20" s="76">
        <v>1.46</v>
      </c>
      <c r="K20" s="76">
        <v>1.57</v>
      </c>
      <c r="L20" s="76">
        <v>1.54</v>
      </c>
      <c r="M20" s="76">
        <v>1.69</v>
      </c>
      <c r="N20" s="76">
        <v>1.68</v>
      </c>
      <c r="O20" s="76">
        <v>1.84</v>
      </c>
      <c r="P20" s="76">
        <v>1.77</v>
      </c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>
        <v>28.92</v>
      </c>
      <c r="C21" s="79"/>
      <c r="D21" s="79"/>
      <c r="E21" s="79">
        <v>29.71</v>
      </c>
      <c r="F21" s="79">
        <v>29.96</v>
      </c>
      <c r="G21" s="79">
        <v>29.94</v>
      </c>
      <c r="H21" s="79">
        <v>29.11</v>
      </c>
      <c r="I21" s="79">
        <v>28.78</v>
      </c>
      <c r="J21" s="79">
        <v>29.61</v>
      </c>
      <c r="K21" s="79">
        <v>29.91</v>
      </c>
      <c r="L21" s="79">
        <v>29.31</v>
      </c>
      <c r="M21" s="79">
        <v>28.75</v>
      </c>
      <c r="N21" s="79">
        <v>29.66</v>
      </c>
      <c r="O21" s="79">
        <v>29.67</v>
      </c>
      <c r="P21" s="79">
        <v>29.56</v>
      </c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>
        <v>29007.79</v>
      </c>
      <c r="C23" s="79"/>
      <c r="D23" s="79"/>
      <c r="E23" s="79">
        <v>22338.7</v>
      </c>
      <c r="F23" s="79">
        <v>18704.95</v>
      </c>
      <c r="G23" s="79">
        <v>19972.37</v>
      </c>
      <c r="H23" s="79">
        <v>18139.64</v>
      </c>
      <c r="I23" s="79">
        <v>19411.87</v>
      </c>
      <c r="J23" s="79">
        <v>16111.55</v>
      </c>
      <c r="K23" s="79">
        <v>23876.560000000001</v>
      </c>
      <c r="L23" s="79">
        <v>18139.64</v>
      </c>
      <c r="M23" s="79">
        <v>17951.23</v>
      </c>
      <c r="N23" s="79">
        <v>20094.72</v>
      </c>
      <c r="O23" s="79">
        <v>22716.2</v>
      </c>
      <c r="P23" s="79">
        <v>24186.19</v>
      </c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>
        <v>112263.8</v>
      </c>
      <c r="C24" s="76"/>
      <c r="D24" s="76"/>
      <c r="E24" s="76">
        <v>20842.95</v>
      </c>
      <c r="F24" s="76">
        <v>25858.36</v>
      </c>
      <c r="G24" s="76">
        <v>102997.94</v>
      </c>
      <c r="H24" s="76">
        <v>12218.9</v>
      </c>
      <c r="I24" s="76">
        <v>27634.32</v>
      </c>
      <c r="J24" s="76">
        <v>31029.66</v>
      </c>
      <c r="K24" s="76">
        <v>26559.040000000001</v>
      </c>
      <c r="L24" s="76">
        <v>110404.46</v>
      </c>
      <c r="M24" s="76">
        <v>13687.68</v>
      </c>
      <c r="N24" s="76">
        <v>30587.38</v>
      </c>
      <c r="O24" s="76">
        <v>29836.74</v>
      </c>
      <c r="P24" s="76">
        <v>23483.11</v>
      </c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>
        <v>-9.1</v>
      </c>
      <c r="C25" s="79"/>
      <c r="D25" s="79"/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-35.979999999999997</v>
      </c>
      <c r="P25" s="79">
        <v>0</v>
      </c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>
        <v>-3534.5</v>
      </c>
      <c r="C26" s="76"/>
      <c r="D26" s="76"/>
      <c r="E26" s="76">
        <v>-493.42</v>
      </c>
      <c r="F26" s="76">
        <v>46.95</v>
      </c>
      <c r="G26" s="76">
        <v>-2190.33</v>
      </c>
      <c r="H26" s="76">
        <v>-1853.71</v>
      </c>
      <c r="I26" s="76">
        <v>-4074.59</v>
      </c>
      <c r="J26" s="76">
        <v>1625.2</v>
      </c>
      <c r="K26" s="76">
        <v>-429.56</v>
      </c>
      <c r="L26" s="76">
        <v>-5043.21</v>
      </c>
      <c r="M26" s="76">
        <v>-268.3</v>
      </c>
      <c r="N26" s="76">
        <v>-429.89</v>
      </c>
      <c r="O26" s="76">
        <v>-997.96</v>
      </c>
      <c r="P26" s="76">
        <v>-215.25</v>
      </c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>
        <v>3901.99</v>
      </c>
      <c r="C27" s="79"/>
      <c r="D27" s="79"/>
      <c r="E27" s="79">
        <v>1049.55</v>
      </c>
      <c r="F27" s="79">
        <v>771.08</v>
      </c>
      <c r="G27" s="79">
        <v>3830.48</v>
      </c>
      <c r="H27" s="79">
        <v>583.62</v>
      </c>
      <c r="I27" s="79">
        <v>952.39</v>
      </c>
      <c r="J27" s="79">
        <v>896.52</v>
      </c>
      <c r="K27" s="79">
        <v>1009.79</v>
      </c>
      <c r="L27" s="79">
        <v>3451.21</v>
      </c>
      <c r="M27" s="79">
        <v>446.07</v>
      </c>
      <c r="N27" s="79">
        <v>896.47</v>
      </c>
      <c r="O27" s="79">
        <v>760.26</v>
      </c>
      <c r="P27" s="79">
        <v>851.4</v>
      </c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>
        <v>19972.37</v>
      </c>
      <c r="C28" s="76"/>
      <c r="D28" s="76"/>
      <c r="E28" s="76">
        <v>14966.85</v>
      </c>
      <c r="F28" s="76">
        <v>22937.200000000001</v>
      </c>
      <c r="G28" s="76">
        <v>18139.64</v>
      </c>
      <c r="H28" s="76">
        <v>14287.22</v>
      </c>
      <c r="I28" s="76">
        <v>14638.49</v>
      </c>
      <c r="J28" s="76">
        <v>20384.25</v>
      </c>
      <c r="K28" s="76">
        <v>18508.36</v>
      </c>
      <c r="L28" s="76">
        <v>17951.23</v>
      </c>
      <c r="M28" s="76">
        <v>15946.43</v>
      </c>
      <c r="N28" s="76">
        <v>18034.72</v>
      </c>
      <c r="O28" s="76">
        <v>20208.169999999998</v>
      </c>
      <c r="P28" s="76">
        <v>16799.52</v>
      </c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>
        <v>113853.62</v>
      </c>
      <c r="C29" s="79"/>
      <c r="D29" s="79"/>
      <c r="E29" s="79">
        <v>26671.83</v>
      </c>
      <c r="F29" s="79">
        <v>20901.98</v>
      </c>
      <c r="G29" s="79">
        <v>98809.87</v>
      </c>
      <c r="H29" s="79">
        <v>13633.98</v>
      </c>
      <c r="I29" s="79">
        <v>27380.71</v>
      </c>
      <c r="J29" s="79">
        <v>27485.63</v>
      </c>
      <c r="K29" s="79">
        <v>30487.9</v>
      </c>
      <c r="L29" s="79">
        <v>102098.44</v>
      </c>
      <c r="M29" s="79">
        <v>14978.11</v>
      </c>
      <c r="N29" s="79">
        <v>31321.01</v>
      </c>
      <c r="O29" s="79">
        <v>30550.57</v>
      </c>
      <c r="P29" s="79">
        <v>29803.13</v>
      </c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>
        <v>14970.12</v>
      </c>
      <c r="C31" s="79"/>
      <c r="D31" s="79"/>
      <c r="E31" s="79">
        <v>7580.51</v>
      </c>
      <c r="F31" s="79">
        <v>7821.49</v>
      </c>
      <c r="G31" s="79">
        <v>6114.2</v>
      </c>
      <c r="H31" s="79">
        <v>7652.93</v>
      </c>
      <c r="I31" s="79">
        <v>7979.08</v>
      </c>
      <c r="J31" s="79">
        <v>8009.41</v>
      </c>
      <c r="K31" s="79">
        <v>9013.41</v>
      </c>
      <c r="L31" s="79">
        <v>7652.93</v>
      </c>
      <c r="M31" s="79">
        <v>7474.29</v>
      </c>
      <c r="N31" s="79">
        <v>8100.6</v>
      </c>
      <c r="O31" s="79">
        <v>8257.33</v>
      </c>
      <c r="P31" s="79">
        <v>9332.4599999999991</v>
      </c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>
        <v>15087.3</v>
      </c>
      <c r="C32" s="76"/>
      <c r="D32" s="76"/>
      <c r="E32" s="76">
        <v>3258.39</v>
      </c>
      <c r="F32" s="76">
        <v>3861.83</v>
      </c>
      <c r="G32" s="76">
        <v>15524.41</v>
      </c>
      <c r="H32" s="76">
        <v>1612</v>
      </c>
      <c r="I32" s="76">
        <v>3383.73</v>
      </c>
      <c r="J32" s="76">
        <v>3946.95</v>
      </c>
      <c r="K32" s="76">
        <v>3572.03</v>
      </c>
      <c r="L32" s="76">
        <v>14802.69</v>
      </c>
      <c r="M32" s="76">
        <v>1961.26</v>
      </c>
      <c r="N32" s="76">
        <v>3492.57</v>
      </c>
      <c r="O32" s="76">
        <v>4279.2299999999996</v>
      </c>
      <c r="P32" s="76">
        <v>3061.42</v>
      </c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>
        <v>0</v>
      </c>
      <c r="C33" s="79"/>
      <c r="D33" s="79"/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>
        <v>-202.02</v>
      </c>
      <c r="C34" s="76"/>
      <c r="D34" s="76"/>
      <c r="E34" s="76">
        <v>-216.99</v>
      </c>
      <c r="F34" s="76">
        <v>-69.59</v>
      </c>
      <c r="G34" s="76">
        <v>-450.79</v>
      </c>
      <c r="H34" s="76">
        <v>-1885.5</v>
      </c>
      <c r="I34" s="76">
        <v>-198.76</v>
      </c>
      <c r="J34" s="76">
        <v>35.700000000000003</v>
      </c>
      <c r="K34" s="76">
        <v>-64.53</v>
      </c>
      <c r="L34" s="76">
        <v>-316.88</v>
      </c>
      <c r="M34" s="76">
        <v>-30.15</v>
      </c>
      <c r="N34" s="76">
        <v>-91.79</v>
      </c>
      <c r="O34" s="76">
        <v>-3.36</v>
      </c>
      <c r="P34" s="76">
        <v>-41.88</v>
      </c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>
        <v>296.32</v>
      </c>
      <c r="C35" s="79"/>
      <c r="D35" s="79"/>
      <c r="E35" s="79">
        <v>76.11</v>
      </c>
      <c r="F35" s="79">
        <v>58.13</v>
      </c>
      <c r="G35" s="79">
        <v>284.24</v>
      </c>
      <c r="H35" s="79">
        <v>40.75</v>
      </c>
      <c r="I35" s="79">
        <v>70.2</v>
      </c>
      <c r="J35" s="79">
        <v>67.239999999999995</v>
      </c>
      <c r="K35" s="90">
        <v>76.290000000000006</v>
      </c>
      <c r="L35" s="79">
        <v>254.05</v>
      </c>
      <c r="M35" s="79">
        <v>31.6</v>
      </c>
      <c r="N35" s="79">
        <v>66.97</v>
      </c>
      <c r="O35" s="79">
        <v>56.03</v>
      </c>
      <c r="P35" s="79">
        <v>67.36</v>
      </c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>
        <v>6114.2</v>
      </c>
      <c r="C36" s="76"/>
      <c r="D36" s="76"/>
      <c r="E36" s="76">
        <v>7379.01</v>
      </c>
      <c r="F36" s="76">
        <v>7670.96</v>
      </c>
      <c r="G36" s="76">
        <v>7652.93</v>
      </c>
      <c r="H36" s="76">
        <v>7485.66</v>
      </c>
      <c r="I36" s="76">
        <v>7663.57</v>
      </c>
      <c r="J36" s="76">
        <v>8598.48</v>
      </c>
      <c r="K36" s="76">
        <v>6886.12</v>
      </c>
      <c r="L36" s="76">
        <v>7474.29</v>
      </c>
      <c r="M36" s="76">
        <v>7629.51</v>
      </c>
      <c r="N36" s="76">
        <v>7800.27</v>
      </c>
      <c r="O36" s="76">
        <v>8888.32</v>
      </c>
      <c r="P36" s="76">
        <v>8768.43</v>
      </c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>
        <v>23444.880000000001</v>
      </c>
      <c r="C37" s="82"/>
      <c r="D37" s="82"/>
      <c r="E37" s="82">
        <v>3166.79</v>
      </c>
      <c r="F37" s="82">
        <v>3884.64</v>
      </c>
      <c r="G37" s="82">
        <v>13250.66</v>
      </c>
      <c r="H37" s="82">
        <v>1706.73</v>
      </c>
      <c r="I37" s="82">
        <v>3430.28</v>
      </c>
      <c r="J37" s="82">
        <v>3326.33</v>
      </c>
      <c r="K37" s="82">
        <v>5558.5</v>
      </c>
      <c r="L37" s="82">
        <v>14410.4</v>
      </c>
      <c r="M37" s="82">
        <v>1744.27</v>
      </c>
      <c r="N37" s="82">
        <v>3634.15</v>
      </c>
      <c r="O37" s="82">
        <v>3588.85</v>
      </c>
      <c r="P37" s="82">
        <v>3516.21</v>
      </c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9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W200"/>
  <sheetViews>
    <sheetView zoomScale="120" zoomScaleNormal="120" workbookViewId="0">
      <pane xSplit="1" ySplit="7" topLeftCell="B12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11657</v>
      </c>
      <c r="C1" s="55" t="s">
        <v>9</v>
      </c>
      <c r="D1" s="74">
        <f>_xlfn.XLOOKUP(B1,'FC-Inv Setup'!A3:A22,'FC-Inv Setup'!I3:I22)</f>
        <v>46134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Amanda Estrada</v>
      </c>
      <c r="C2" s="54" t="s">
        <v>125</v>
      </c>
      <c r="D2" s="73" t="str">
        <f>_xlfn.XLOOKUP(B1,'FC-Inv Setup'!A3:A22,'FC-Inv Setup'!K3:K22)</f>
        <v>Medium</v>
      </c>
    </row>
    <row r="3" spans="1:23">
      <c r="A3" s="54" t="s">
        <v>4</v>
      </c>
      <c r="B3" s="73" t="str">
        <f>_xlfn.XLOOKUP(B1,'FC-Inv Setup'!A3:A22,'FC-Inv Setup'!D3:D22)</f>
        <v>Jessie Hiatt</v>
      </c>
      <c r="D3" s="73"/>
    </row>
    <row r="4" spans="1:23">
      <c r="A4" s="54" t="s">
        <v>124</v>
      </c>
      <c r="B4" s="73" t="str">
        <f>_xlfn.XLOOKUP(B1,'FC-Inv Setup'!A3:A22,'FC-Inv Setup'!E3:E22)</f>
        <v>Norma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85636.45</v>
      </c>
      <c r="F9" s="79">
        <v>58894.94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3.33</v>
      </c>
      <c r="F10" s="76">
        <v>5.69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2851.13</v>
      </c>
      <c r="F11" s="79">
        <v>3350.32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0.47</v>
      </c>
      <c r="F12" s="76">
        <v>0.67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0.67</v>
      </c>
      <c r="F13" s="79">
        <v>1.02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3.92</v>
      </c>
      <c r="F14" s="76">
        <v>2.29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0.25</v>
      </c>
      <c r="F15" s="79">
        <v>0.2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3.66</v>
      </c>
      <c r="F16" s="76">
        <v>3.31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-0.13</v>
      </c>
      <c r="F17" s="79">
        <v>-0.2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8.84</v>
      </c>
      <c r="F18" s="76">
        <v>7.29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23.065991583483299</v>
      </c>
      <c r="F19" s="79">
        <v>23.392501283668601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1.28</v>
      </c>
      <c r="F20" s="76">
        <v>1.28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33.19</v>
      </c>
      <c r="F21" s="79">
        <v>31.97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24224.57</v>
      </c>
      <c r="F23" s="79">
        <v>22034.16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22165</v>
      </c>
      <c r="F24" s="76">
        <v>20946.810000000001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-11.74</v>
      </c>
      <c r="F26" s="76">
        <v>30.89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576.12</v>
      </c>
      <c r="F27" s="79">
        <v>368.4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17382.37</v>
      </c>
      <c r="F28" s="76">
        <v>23816.29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28419.34</v>
      </c>
      <c r="F29" s="79">
        <v>18827.169999999998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12664.92</v>
      </c>
      <c r="F31" s="79">
        <v>12201.75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2007.63</v>
      </c>
      <c r="F32" s="76">
        <v>2378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87.92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48.61</v>
      </c>
      <c r="F35" s="79">
        <v>29.97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11772.82</v>
      </c>
      <c r="F36" s="76">
        <v>11287.37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2851.13</v>
      </c>
      <c r="F37" s="82">
        <v>3350.32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A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W200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13113</v>
      </c>
      <c r="C1" s="55" t="s">
        <v>9</v>
      </c>
      <c r="D1" s="74">
        <f>_xlfn.XLOOKUP(B1,'FC-Inv Setup'!A3:A22,'FC-Inv Setup'!I3:I22)</f>
        <v>46183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Ashley Podroza</v>
      </c>
      <c r="C2" s="54" t="s">
        <v>125</v>
      </c>
      <c r="D2" s="73" t="str">
        <f>_xlfn.XLOOKUP(B1,'FC-Inv Setup'!A3:A22,'FC-Inv Setup'!K3:K22)</f>
        <v>High</v>
      </c>
    </row>
    <row r="3" spans="1:23">
      <c r="A3" s="54" t="s">
        <v>4</v>
      </c>
      <c r="B3" s="73" t="str">
        <f>_xlfn.XLOOKUP(B1,'FC-Inv Setup'!A3:A22,'FC-Inv Setup'!D3:D22)</f>
        <v>Chris Abbey</v>
      </c>
      <c r="D3" s="73"/>
    </row>
    <row r="4" spans="1:23">
      <c r="A4" s="54" t="s">
        <v>124</v>
      </c>
      <c r="B4" s="73" t="str">
        <f>_xlfn.XLOOKUP(B1,'FC-Inv Setup'!A3:A22,'FC-Inv Setup'!E3:E22)</f>
        <v>Josh</v>
      </c>
      <c r="D4" s="73"/>
    </row>
    <row r="5" spans="1:23">
      <c r="A5" s="54" t="s">
        <v>10</v>
      </c>
      <c r="B5" s="73" t="str">
        <f>_xlfn.XLOOKUP(B1,'FC-Inv Setup'!A3:A22,'FC-Inv Setup'!J3:J22)</f>
        <v>Tuesday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46028</v>
      </c>
      <c r="D7" s="86">
        <v>46035</v>
      </c>
      <c r="E7" s="86">
        <v>46042</v>
      </c>
      <c r="F7" s="86">
        <v>46049</v>
      </c>
      <c r="G7" s="75" t="s">
        <v>315</v>
      </c>
      <c r="H7" s="75">
        <v>46056</v>
      </c>
      <c r="I7" s="75">
        <v>46063</v>
      </c>
      <c r="J7" s="75">
        <v>46070</v>
      </c>
      <c r="K7" s="75">
        <v>46077</v>
      </c>
      <c r="L7" s="75" t="s">
        <v>316</v>
      </c>
      <c r="M7" s="75">
        <v>46084</v>
      </c>
      <c r="N7" s="75">
        <v>46091</v>
      </c>
      <c r="O7" s="75">
        <v>46098</v>
      </c>
      <c r="P7" s="75">
        <v>46105</v>
      </c>
      <c r="Q7" s="75" t="s">
        <v>317</v>
      </c>
      <c r="R7" s="75" t="s">
        <v>318</v>
      </c>
      <c r="S7" s="75" t="s">
        <v>319</v>
      </c>
      <c r="T7" s="75" t="s">
        <v>320</v>
      </c>
      <c r="U7" s="75" t="s">
        <v>321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71491.7</v>
      </c>
      <c r="F9" s="79">
        <v>48328.37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3.07</v>
      </c>
      <c r="F10" s="76">
        <v>3.18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2194.83</v>
      </c>
      <c r="F11" s="79">
        <v>1537.64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0.3</v>
      </c>
      <c r="F12" s="76">
        <v>0.33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0.53</v>
      </c>
      <c r="F13" s="79">
        <v>0.56999999999999995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1.85</v>
      </c>
      <c r="F14" s="76">
        <v>2.44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0.21</v>
      </c>
      <c r="F15" s="79">
        <v>0.24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0.7</v>
      </c>
      <c r="F16" s="76">
        <v>6.3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-0.03</v>
      </c>
      <c r="F17" s="79">
        <v>0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3.56</v>
      </c>
      <c r="F18" s="76">
        <v>9.8800000000000008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23.292412015971099</v>
      </c>
      <c r="F19" s="79">
        <v>23.693876074007999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1.26</v>
      </c>
      <c r="F20" s="76">
        <v>1.36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28.12</v>
      </c>
      <c r="F21" s="79">
        <v>34.93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25213.23</v>
      </c>
      <c r="F23" s="79">
        <v>26085.01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19804.54</v>
      </c>
      <c r="F24" s="76">
        <v>21372.98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0</v>
      </c>
      <c r="F26" s="76">
        <v>477.53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465.74</v>
      </c>
      <c r="F27" s="79">
        <v>301.35000000000002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24447.53</v>
      </c>
      <c r="F28" s="76">
        <v>30753.29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20104.5</v>
      </c>
      <c r="F29" s="79">
        <v>16880.89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9403.84</v>
      </c>
      <c r="F31" s="79">
        <v>9804.83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2357.39</v>
      </c>
      <c r="F32" s="76">
        <v>2082.27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32.49</v>
      </c>
      <c r="F35" s="79">
        <v>22.41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9533.91</v>
      </c>
      <c r="F36" s="76">
        <v>10327.049999999999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2194.83</v>
      </c>
      <c r="F37" s="82">
        <v>1537.64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B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W200"/>
  <sheetViews>
    <sheetView zoomScale="120" zoomScaleNormal="120" workbookViewId="0">
      <pane xSplit="1" ySplit="7" topLeftCell="B16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18213</v>
      </c>
      <c r="C1" s="55" t="s">
        <v>9</v>
      </c>
      <c r="D1" s="74">
        <f>_xlfn.XLOOKUP(B1,'FC-Inv Setup'!A3:A22,'FC-Inv Setup'!I3:I22)</f>
        <v>46338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Krystiana Langford</v>
      </c>
      <c r="C2" s="54" t="s">
        <v>125</v>
      </c>
      <c r="D2" s="73" t="str">
        <f>_xlfn.XLOOKUP(B1,'FC-Inv Setup'!A3:A22,'FC-Inv Setup'!K3:K22)</f>
        <v>Medium</v>
      </c>
    </row>
    <row r="3" spans="1:23">
      <c r="A3" s="54" t="s">
        <v>4</v>
      </c>
      <c r="B3" s="73" t="str">
        <f>_xlfn.XLOOKUP(B1,'FC-Inv Setup'!A3:A22,'FC-Inv Setup'!D3:D22)</f>
        <v>Cora Bahling</v>
      </c>
      <c r="D3" s="73"/>
    </row>
    <row r="4" spans="1:23">
      <c r="A4" s="54" t="s">
        <v>124</v>
      </c>
      <c r="B4" s="73" t="str">
        <f>_xlfn.XLOOKUP(B1,'FC-Inv Setup'!A3:A22,'FC-Inv Setup'!E3:E22)</f>
        <v>Crystal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43317.38</v>
      </c>
      <c r="F9" s="79">
        <v>31712.97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3.38</v>
      </c>
      <c r="F10" s="76">
        <v>3.36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1464.63</v>
      </c>
      <c r="F11" s="79">
        <v>1066.1600000000001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0.19</v>
      </c>
      <c r="F12" s="76">
        <v>0.19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0.99</v>
      </c>
      <c r="F13" s="79">
        <v>1.26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1.42</v>
      </c>
      <c r="F14" s="76">
        <v>1.19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0.38</v>
      </c>
      <c r="F15" s="79">
        <v>0.47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2.61</v>
      </c>
      <c r="F16" s="76">
        <v>-12.11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-0.08</v>
      </c>
      <c r="F17" s="79">
        <v>-0.16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5.51</v>
      </c>
      <c r="F18" s="76">
        <v>-9.16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23.167451824184202</v>
      </c>
      <c r="F19" s="79">
        <v>23.890526811423001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1.39</v>
      </c>
      <c r="F20" s="76">
        <v>1.49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30.06</v>
      </c>
      <c r="F21" s="79">
        <v>16.22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14375.36</v>
      </c>
      <c r="F23" s="79">
        <v>14994.59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11832.31</v>
      </c>
      <c r="F24" s="76">
        <v>5377.92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11.74</v>
      </c>
      <c r="F26" s="76">
        <v>-30.89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255.65</v>
      </c>
      <c r="F27" s="79">
        <v>140.72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12941</v>
      </c>
      <c r="F28" s="76">
        <v>15058.18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13022.76</v>
      </c>
      <c r="F29" s="79">
        <v>5142.71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6349.4</v>
      </c>
      <c r="F31" s="79">
        <v>6655.21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1582.65</v>
      </c>
      <c r="F32" s="76">
        <v>692.98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18.2</v>
      </c>
      <c r="F35" s="79">
        <v>11.05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6449.22</v>
      </c>
      <c r="F36" s="76">
        <v>6270.98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1464.63</v>
      </c>
      <c r="F37" s="82">
        <v>1066.1600000000001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C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W200"/>
  <sheetViews>
    <sheetView zoomScale="120" zoomScaleNormal="120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20475</v>
      </c>
      <c r="C1" s="55" t="s">
        <v>9</v>
      </c>
      <c r="D1" s="74">
        <f>_xlfn.XLOOKUP(B1,'FC-Inv Setup'!A3:A22,'FC-Inv Setup'!I3:I22)</f>
        <v>46107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Amanda Estrada</v>
      </c>
      <c r="C2" s="54" t="s">
        <v>125</v>
      </c>
      <c r="D2" s="73" t="str">
        <f>_xlfn.XLOOKUP(B1,'FC-Inv Setup'!A3:A22,'FC-Inv Setup'!K3:K22)</f>
        <v>Low</v>
      </c>
    </row>
    <row r="3" spans="1:23">
      <c r="A3" s="54" t="s">
        <v>4</v>
      </c>
      <c r="B3" s="73" t="str">
        <f>_xlfn.XLOOKUP(B1,'FC-Inv Setup'!A3:A22,'FC-Inv Setup'!D3:D22)</f>
        <v>Derek McGirt</v>
      </c>
      <c r="D3" s="73"/>
    </row>
    <row r="4" spans="1:23">
      <c r="A4" s="54" t="s">
        <v>124</v>
      </c>
      <c r="B4" s="73" t="str">
        <f>_xlfn.XLOOKUP(B1,'FC-Inv Setup'!A3:A22,'FC-Inv Setup'!E3:E22)</f>
        <v>Susanna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78125.23</v>
      </c>
      <c r="F9" s="79">
        <v>61228.57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3.4</v>
      </c>
      <c r="F10" s="76">
        <v>5.65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2652.52</v>
      </c>
      <c r="F11" s="79">
        <v>3457.2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0.26</v>
      </c>
      <c r="F12" s="76">
        <v>0.28000000000000003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0.25</v>
      </c>
      <c r="F13" s="79">
        <v>0.46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2.12</v>
      </c>
      <c r="F14" s="76">
        <v>2.31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0.3</v>
      </c>
      <c r="F15" s="79">
        <v>0.32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1.93</v>
      </c>
      <c r="F16" s="76">
        <v>5.21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-0.05</v>
      </c>
      <c r="F17" s="79">
        <v>-0.12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4.8099999999999996</v>
      </c>
      <c r="F18" s="76">
        <v>8.4600000000000009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23.381987109521798</v>
      </c>
      <c r="F19" s="79">
        <v>23.6830039857274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1.65</v>
      </c>
      <c r="F20" s="76">
        <v>1.68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29.84</v>
      </c>
      <c r="F21" s="79">
        <v>33.82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18623.2</v>
      </c>
      <c r="F23" s="79">
        <v>19445.189999999999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18930.61</v>
      </c>
      <c r="F24" s="76">
        <v>21704.51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-42.25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130.57</v>
      </c>
      <c r="F26" s="76">
        <v>-6.37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712.66</v>
      </c>
      <c r="F27" s="79">
        <v>554.53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13658.23</v>
      </c>
      <c r="F28" s="76">
        <v>19837.93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23313.48</v>
      </c>
      <c r="F29" s="79">
        <v>20708.62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7203.53</v>
      </c>
      <c r="F31" s="79">
        <v>7892.54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2990.64</v>
      </c>
      <c r="F32" s="76">
        <v>2366.86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46.75</v>
      </c>
      <c r="F35" s="79">
        <v>37.229999999999997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7494.9</v>
      </c>
      <c r="F36" s="76">
        <v>6764.97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2652.52</v>
      </c>
      <c r="F37" s="82">
        <v>3457.2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D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W200"/>
  <sheetViews>
    <sheetView zoomScale="120" zoomScaleNormal="120" workbookViewId="0">
      <pane xSplit="1" ySplit="7" topLeftCell="B10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24471</v>
      </c>
      <c r="C1" s="55" t="s">
        <v>9</v>
      </c>
      <c r="D1" s="74">
        <f>_xlfn.XLOOKUP(B1,'FC-Inv Setup'!A3:A22,'FC-Inv Setup'!I3:I22)</f>
        <v>46309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Robert Spencer</v>
      </c>
      <c r="C2" s="54" t="s">
        <v>125</v>
      </c>
      <c r="D2" s="73" t="str">
        <f>_xlfn.XLOOKUP(B1,'FC-Inv Setup'!A3:A22,'FC-Inv Setup'!K3:K22)</f>
        <v>High</v>
      </c>
    </row>
    <row r="3" spans="1:23">
      <c r="A3" s="54" t="s">
        <v>4</v>
      </c>
      <c r="B3" s="73" t="str">
        <f>_xlfn.XLOOKUP(B1,'FC-Inv Setup'!A3:A22,'FC-Inv Setup'!D3:D22)</f>
        <v>Mystykal Abbey</v>
      </c>
      <c r="D3" s="73"/>
    </row>
    <row r="4" spans="1:23">
      <c r="A4" s="54" t="s">
        <v>124</v>
      </c>
      <c r="B4" s="73" t="str">
        <f>_xlfn.XLOOKUP(B1,'FC-Inv Setup'!A3:A22,'FC-Inv Setup'!E3:E22)</f>
        <v>Mystikal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80045.429999999993</v>
      </c>
      <c r="F9" s="79">
        <v>51026.77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3.24</v>
      </c>
      <c r="F10" s="76">
        <v>5.59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2593.85</v>
      </c>
      <c r="F11" s="79">
        <v>2851.98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0.59</v>
      </c>
      <c r="F12" s="76">
        <v>0.61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0.54</v>
      </c>
      <c r="F13" s="79">
        <v>0.5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1.52</v>
      </c>
      <c r="F14" s="76">
        <v>3.7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0.38</v>
      </c>
      <c r="F15" s="79">
        <v>0.49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2.4700000000000002</v>
      </c>
      <c r="F16" s="76">
        <v>3.56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0</v>
      </c>
      <c r="F17" s="79">
        <v>-0.01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5.5</v>
      </c>
      <c r="F18" s="76">
        <v>8.85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23.317098820839501</v>
      </c>
      <c r="F19" s="79">
        <v>23.5068996694723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1.32</v>
      </c>
      <c r="F20" s="76">
        <v>1.35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30.14</v>
      </c>
      <c r="F21" s="79">
        <v>33.71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23424.05</v>
      </c>
      <c r="F23" s="79">
        <v>23880.78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22275.93</v>
      </c>
      <c r="F24" s="76">
        <v>20467.5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114.61</v>
      </c>
      <c r="F26" s="76">
        <v>0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628.11</v>
      </c>
      <c r="F27" s="79">
        <v>373.56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21064.55</v>
      </c>
      <c r="F28" s="76">
        <v>26772.720000000001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24121.94</v>
      </c>
      <c r="F29" s="79">
        <v>17202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6378.19</v>
      </c>
      <c r="F31" s="79">
        <v>7054.74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2999.43</v>
      </c>
      <c r="F32" s="76">
        <v>2200.96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44.82</v>
      </c>
      <c r="F35" s="79">
        <v>24.95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6738.95</v>
      </c>
      <c r="F36" s="76">
        <v>6378.78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2593.85</v>
      </c>
      <c r="F37" s="82">
        <v>2851.98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E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W200"/>
  <sheetViews>
    <sheetView zoomScale="120" zoomScaleNormal="120" workbookViewId="0">
      <pane xSplit="1" ySplit="7" topLeftCell="B12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29760</v>
      </c>
      <c r="C1" s="55" t="s">
        <v>9</v>
      </c>
      <c r="D1" s="74">
        <f>_xlfn.XLOOKUP(B1,'FC-Inv Setup'!A3:A22,'FC-Inv Setup'!I3:I22)</f>
        <v>46323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Krystiana Langford</v>
      </c>
      <c r="C2" s="54" t="s">
        <v>125</v>
      </c>
      <c r="D2" s="73" t="str">
        <f>_xlfn.XLOOKUP(B1,'FC-Inv Setup'!A3:A22,'FC-Inv Setup'!K3:K22)</f>
        <v>Low</v>
      </c>
    </row>
    <row r="3" spans="1:23">
      <c r="A3" s="54" t="s">
        <v>4</v>
      </c>
      <c r="B3" s="73" t="str">
        <f>_xlfn.XLOOKUP(B1,'FC-Inv Setup'!A3:A22,'FC-Inv Setup'!D3:D22)</f>
        <v>Heather Danforth</v>
      </c>
      <c r="D3" s="73"/>
    </row>
    <row r="4" spans="1:23">
      <c r="A4" s="54" t="s">
        <v>124</v>
      </c>
      <c r="B4" s="73" t="str">
        <f>_xlfn.XLOOKUP(B1,'FC-Inv Setup'!A3:A22,'FC-Inv Setup'!E3:E22)</f>
        <v>Magi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112254.39</v>
      </c>
      <c r="F9" s="79">
        <v>101656.28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3.2</v>
      </c>
      <c r="F10" s="76">
        <v>7.86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3588.36</v>
      </c>
      <c r="F11" s="79">
        <v>7987.48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0.21</v>
      </c>
      <c r="F12" s="76">
        <v>0.22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0.39</v>
      </c>
      <c r="F13" s="79">
        <v>0.4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2.08</v>
      </c>
      <c r="F14" s="76">
        <v>2.2999999999999998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0.34</v>
      </c>
      <c r="F15" s="79">
        <v>0.35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1.24</v>
      </c>
      <c r="F16" s="76">
        <v>2.15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-0.03</v>
      </c>
      <c r="F17" s="79">
        <v>-7.0000000000000007E-2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4.2300000000000004</v>
      </c>
      <c r="F18" s="76">
        <v>5.35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23.163269132103199</v>
      </c>
      <c r="F19" s="79">
        <v>23.532933124448199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</v>
      </c>
      <c r="F20" s="76">
        <v>1.3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28.58</v>
      </c>
      <c r="F21" s="79">
        <v>30.18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28296.33</v>
      </c>
      <c r="F23" s="79">
        <v>30717.03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29200.93</v>
      </c>
      <c r="F24" s="76">
        <v>28221.02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-30.98</v>
      </c>
      <c r="F26" s="76">
        <v>0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931.55</v>
      </c>
      <c r="F27" s="79">
        <v>876.76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24447.89</v>
      </c>
      <c r="F28" s="76">
        <v>27376.85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32086.83</v>
      </c>
      <c r="F29" s="79">
        <v>30684.45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7830.66</v>
      </c>
      <c r="F31" s="79">
        <v>8728.83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3951.71</v>
      </c>
      <c r="F32" s="76">
        <v>3860.72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32.4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63.86</v>
      </c>
      <c r="F35" s="79">
        <v>58.07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8162.56</v>
      </c>
      <c r="F36" s="76">
        <v>4544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3588.36</v>
      </c>
      <c r="F37" s="82">
        <v>7987.48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0F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W200"/>
  <sheetViews>
    <sheetView zoomScale="120" zoomScaleNormal="120" workbookViewId="0">
      <pane xSplit="1" ySplit="7" topLeftCell="B9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31357</v>
      </c>
      <c r="C1" s="55" t="s">
        <v>9</v>
      </c>
      <c r="D1" s="74">
        <f>_xlfn.XLOOKUP(B1,'FC-Inv Setup'!A3:A22,'FC-Inv Setup'!I3:I22)</f>
        <v>46198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Amanda Estrada</v>
      </c>
      <c r="C2" s="54" t="s">
        <v>125</v>
      </c>
      <c r="D2" s="73" t="str">
        <f>_xlfn.XLOOKUP(B1,'FC-Inv Setup'!A3:A22,'FC-Inv Setup'!K3:K22)</f>
        <v>Medium</v>
      </c>
    </row>
    <row r="3" spans="1:23">
      <c r="A3" s="54" t="s">
        <v>4</v>
      </c>
      <c r="B3" s="73" t="str">
        <f>_xlfn.XLOOKUP(B1,'FC-Inv Setup'!A3:A22,'FC-Inv Setup'!D3:D22)</f>
        <v>Brady Giambaresi</v>
      </c>
      <c r="D3" s="73"/>
    </row>
    <row r="4" spans="1:23">
      <c r="A4" s="54" t="s">
        <v>124</v>
      </c>
      <c r="B4" s="73" t="str">
        <f>_xlfn.XLOOKUP(B1,'FC-Inv Setup'!A3:A22,'FC-Inv Setup'!E3:E22)</f>
        <v>Angelo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76738.62</v>
      </c>
      <c r="F9" s="79">
        <v>56499.69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3.3</v>
      </c>
      <c r="F10" s="76">
        <v>3.32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2532.0700000000002</v>
      </c>
      <c r="F11" s="79">
        <v>1878.3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0.1</v>
      </c>
      <c r="F12" s="76">
        <v>0.39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0.56999999999999995</v>
      </c>
      <c r="F13" s="79">
        <v>0.71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2.59</v>
      </c>
      <c r="F14" s="76">
        <v>2.78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0.21</v>
      </c>
      <c r="F15" s="79">
        <v>0.3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3.12</v>
      </c>
      <c r="F16" s="76">
        <v>3.7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0.02</v>
      </c>
      <c r="F17" s="79">
        <v>-1.0999999999999999E-2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6.61</v>
      </c>
      <c r="F18" s="76">
        <v>7.87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23.0773011754316</v>
      </c>
      <c r="F19" s="79">
        <v>23.586345018567702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1.27</v>
      </c>
      <c r="F20" s="76">
        <v>1.3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30.95</v>
      </c>
      <c r="F21" s="79">
        <v>32.76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23284.92</v>
      </c>
      <c r="F23" s="79">
        <v>24239.74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22173.32</v>
      </c>
      <c r="F24" s="76">
        <v>19203.91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-45.13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-98.78</v>
      </c>
      <c r="F26" s="76">
        <v>0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641.47</v>
      </c>
      <c r="F27" s="79">
        <v>547.91999999999996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20950.71</v>
      </c>
      <c r="F28" s="76">
        <v>24341.91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23767.279999999999</v>
      </c>
      <c r="F29" s="79">
        <v>18508.689999999999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15919.41</v>
      </c>
      <c r="F31" s="79">
        <v>15587.46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1901.14</v>
      </c>
      <c r="F32" s="76">
        <v>2674.01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-87.92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46.69</v>
      </c>
      <c r="F35" s="79">
        <v>41.72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15241.8</v>
      </c>
      <c r="F36" s="76">
        <v>16253.53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2532.0700000000002</v>
      </c>
      <c r="F37" s="82">
        <v>1878.3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0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W200"/>
  <sheetViews>
    <sheetView zoomScale="120" zoomScaleNormal="120" workbookViewId="0">
      <pane xSplit="1" ySplit="7" topLeftCell="B9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32525</v>
      </c>
      <c r="C1" s="55" t="s">
        <v>9</v>
      </c>
      <c r="D1" s="74">
        <f>_xlfn.XLOOKUP(B1,'FC-Inv Setup'!A3:A22,'FC-Inv Setup'!I3:I22)</f>
        <v>46337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Robert Spencer</v>
      </c>
      <c r="C2" s="54" t="s">
        <v>125</v>
      </c>
      <c r="D2" s="73" t="str">
        <f>_xlfn.XLOOKUP(B1,'FC-Inv Setup'!A3:A22,'FC-Inv Setup'!K3:K22)</f>
        <v>High</v>
      </c>
    </row>
    <row r="3" spans="1:23">
      <c r="A3" s="54" t="s">
        <v>4</v>
      </c>
      <c r="B3" s="73" t="str">
        <f>_xlfn.XLOOKUP(B1,'FC-Inv Setup'!A3:A22,'FC-Inv Setup'!D3:D22)</f>
        <v>Aliyah Richardson</v>
      </c>
      <c r="D3" s="73"/>
    </row>
    <row r="4" spans="1:23">
      <c r="A4" s="54" t="s">
        <v>124</v>
      </c>
      <c r="B4" s="73" t="str">
        <f>_xlfn.XLOOKUP(B1,'FC-Inv Setup'!A3:A22,'FC-Inv Setup'!E3:E22)</f>
        <v>Priscilla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59050.96</v>
      </c>
      <c r="F9" s="79">
        <v>40405.79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3.34</v>
      </c>
      <c r="F10" s="76">
        <v>6.07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1970.42</v>
      </c>
      <c r="F11" s="79">
        <v>2453.6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0.46</v>
      </c>
      <c r="F12" s="76">
        <v>0.33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1.72</v>
      </c>
      <c r="F13" s="79">
        <v>1.58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2.2599999999999998</v>
      </c>
      <c r="F14" s="76">
        <v>2.5099999999999998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0.28999999999999998</v>
      </c>
      <c r="F15" s="79">
        <v>0.24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0.79</v>
      </c>
      <c r="F16" s="76">
        <v>1.96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-0.03</v>
      </c>
      <c r="F17" s="79">
        <v>-0.03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5.49</v>
      </c>
      <c r="F18" s="76">
        <v>6.59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23.701091002633699</v>
      </c>
      <c r="F19" s="79">
        <v>24.1308619044169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1.27</v>
      </c>
      <c r="F20" s="76">
        <v>1.21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30.45</v>
      </c>
      <c r="F21" s="79">
        <v>31.93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23339.56</v>
      </c>
      <c r="F23" s="79">
        <v>23898.51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16693.11</v>
      </c>
      <c r="F24" s="76">
        <v>13077.52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0</v>
      </c>
      <c r="F26" s="76">
        <v>19.149999999999999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413.41</v>
      </c>
      <c r="F27" s="79">
        <v>293.17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21636.91</v>
      </c>
      <c r="F28" s="76">
        <v>23800.62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17982.349999999999</v>
      </c>
      <c r="F29" s="79">
        <v>12901.39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6018.21</v>
      </c>
      <c r="F31" s="79">
        <v>6168.67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1885.72</v>
      </c>
      <c r="F32" s="76">
        <v>1874.93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28.38</v>
      </c>
      <c r="F35" s="79">
        <v>20.75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5905.13</v>
      </c>
      <c r="F36" s="76">
        <v>5569.25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1970.42</v>
      </c>
      <c r="F37" s="82">
        <v>2453.6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1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W200"/>
  <sheetViews>
    <sheetView zoomScale="120" zoomScaleNormal="120" workbookViewId="0">
      <pane xSplit="1" ySplit="7" topLeftCell="B16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33109</v>
      </c>
      <c r="C1" s="55" t="s">
        <v>9</v>
      </c>
      <c r="D1" s="74">
        <f>_xlfn.XLOOKUP(B1,'FC-Inv Setup'!A3:A22,'FC-Inv Setup'!I3:I22)</f>
        <v>46295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Ashley Podroza</v>
      </c>
      <c r="C2" s="54" t="s">
        <v>125</v>
      </c>
      <c r="D2" s="73" t="str">
        <f>_xlfn.XLOOKUP(B1,'FC-Inv Setup'!A3:A22,'FC-Inv Setup'!K3:K22)</f>
        <v>Low</v>
      </c>
    </row>
    <row r="3" spans="1:23">
      <c r="A3" s="54" t="s">
        <v>4</v>
      </c>
      <c r="B3" s="73" t="str">
        <f>_xlfn.XLOOKUP(B1,'FC-Inv Setup'!A3:A22,'FC-Inv Setup'!D3:D22)</f>
        <v>Rey Araiz</v>
      </c>
      <c r="D3" s="73"/>
    </row>
    <row r="4" spans="1:23">
      <c r="A4" s="54" t="s">
        <v>124</v>
      </c>
      <c r="B4" s="73" t="str">
        <f>_xlfn.XLOOKUP(B1,'FC-Inv Setup'!A3:A22,'FC-Inv Setup'!E3:E22)</f>
        <v>Gisselle</v>
      </c>
      <c r="D4" s="73"/>
    </row>
    <row r="5" spans="1:23">
      <c r="A5" s="54" t="s">
        <v>10</v>
      </c>
      <c r="B5" s="73" t="str">
        <f>_xlfn.XLOOKUP(B1,'FC-Inv Setup'!A3:A22,'FC-Inv Setup'!J3:J22)</f>
        <v>Tuesday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71546.23</v>
      </c>
      <c r="F9" s="79">
        <v>46108.73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3.36</v>
      </c>
      <c r="F10" s="76">
        <v>3.28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2404.04</v>
      </c>
      <c r="F11" s="79">
        <v>1514.46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0.12</v>
      </c>
      <c r="F12" s="76">
        <v>0.15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0.47</v>
      </c>
      <c r="F13" s="79">
        <v>0.74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1.96</v>
      </c>
      <c r="F14" s="76">
        <v>1.99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0.16</v>
      </c>
      <c r="F15" s="79">
        <v>0.15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1.1399999999999999</v>
      </c>
      <c r="F16" s="76">
        <v>0.05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-0.04</v>
      </c>
      <c r="F17" s="79">
        <v>-0.01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3.81</v>
      </c>
      <c r="F18" s="76">
        <v>3.07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23.722064168525598</v>
      </c>
      <c r="F19" s="79">
        <v>24.1370026721961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1.24</v>
      </c>
      <c r="F20" s="76">
        <v>1.25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28.78</v>
      </c>
      <c r="F21" s="79">
        <v>28.46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20551.310000000001</v>
      </c>
      <c r="F23" s="79">
        <v>18042.97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15947.85</v>
      </c>
      <c r="F24" s="76">
        <v>11681.46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0</v>
      </c>
      <c r="F26" s="76">
        <v>0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356.65</v>
      </c>
      <c r="F27" s="79">
        <v>239.1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15553.62</v>
      </c>
      <c r="F28" s="76">
        <v>16363.13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20588.89</v>
      </c>
      <c r="F29" s="79">
        <v>13122.2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5901.32</v>
      </c>
      <c r="F31" s="79">
        <v>5724.45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1951.89</v>
      </c>
      <c r="F32" s="76">
        <v>1541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23.4</v>
      </c>
      <c r="F35" s="79">
        <v>16.02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5425.78</v>
      </c>
      <c r="F36" s="76">
        <v>5734.96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2404.04</v>
      </c>
      <c r="F37" s="82">
        <v>1514.46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2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W200"/>
  <sheetViews>
    <sheetView zoomScale="120" zoomScaleNormal="120" workbookViewId="0">
      <pane xSplit="1" ySplit="7" topLeftCell="B9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33222</v>
      </c>
      <c r="C1" s="55" t="s">
        <v>9</v>
      </c>
      <c r="D1" s="74">
        <f>_xlfn.XLOOKUP(B1,'FC-Inv Setup'!A3:A22,'FC-Inv Setup'!I3:I22)</f>
        <v>46169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Krystiana Langford</v>
      </c>
      <c r="C2" s="54" t="s">
        <v>125</v>
      </c>
      <c r="D2" s="73" t="str">
        <f>_xlfn.XLOOKUP(B1,'FC-Inv Setup'!A3:A22,'FC-Inv Setup'!K3:K22)</f>
        <v>High</v>
      </c>
    </row>
    <row r="3" spans="1:23">
      <c r="A3" s="54" t="s">
        <v>4</v>
      </c>
      <c r="B3" s="73" t="str">
        <f>_xlfn.XLOOKUP(B1,'FC-Inv Setup'!A3:A22,'FC-Inv Setup'!D3:D22)</f>
        <v>Carol Escusa</v>
      </c>
      <c r="D3" s="73"/>
    </row>
    <row r="4" spans="1:23">
      <c r="A4" s="54" t="s">
        <v>124</v>
      </c>
      <c r="B4" s="73" t="str">
        <f>_xlfn.XLOOKUP(B1,'FC-Inv Setup'!A3:A22,'FC-Inv Setup'!E3:E22)</f>
        <v>Darryl</v>
      </c>
      <c r="D4" s="73"/>
    </row>
    <row r="5" spans="1:23">
      <c r="A5" s="54" t="s">
        <v>10</v>
      </c>
      <c r="B5" s="73" t="str">
        <f>_xlfn.XLOOKUP(B1,'FC-Inv Setup'!A3:A22,'FC-Inv Setup'!J3:J22)</f>
        <v>Thursday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46030</v>
      </c>
      <c r="D7" s="86">
        <v>46249</v>
      </c>
      <c r="E7" s="86">
        <v>46044</v>
      </c>
      <c r="F7" s="86">
        <v>46051</v>
      </c>
      <c r="G7" s="75" t="s">
        <v>315</v>
      </c>
      <c r="H7" s="75">
        <v>46058</v>
      </c>
      <c r="I7" s="75">
        <v>46065</v>
      </c>
      <c r="J7" s="75">
        <v>46072</v>
      </c>
      <c r="K7" s="75">
        <v>46079</v>
      </c>
      <c r="L7" s="75" t="s">
        <v>316</v>
      </c>
      <c r="M7" s="75">
        <v>46086</v>
      </c>
      <c r="N7" s="75">
        <v>46093</v>
      </c>
      <c r="O7" s="75">
        <v>46100</v>
      </c>
      <c r="P7" s="75">
        <v>46107</v>
      </c>
      <c r="Q7" s="75" t="s">
        <v>317</v>
      </c>
      <c r="R7" s="75">
        <v>46114</v>
      </c>
      <c r="S7" s="75">
        <v>46121</v>
      </c>
      <c r="T7" s="75">
        <v>46128</v>
      </c>
      <c r="U7" s="75">
        <v>46135</v>
      </c>
      <c r="V7" s="87" t="s">
        <v>322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60445.05</v>
      </c>
      <c r="F9" s="79">
        <v>43354.19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3.03</v>
      </c>
      <c r="F10" s="76">
        <v>6.19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1828.88</v>
      </c>
      <c r="F11" s="79">
        <v>2682.06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0.36</v>
      </c>
      <c r="F12" s="76">
        <v>0.33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1.1499999999999999</v>
      </c>
      <c r="F13" s="79">
        <v>1.22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2.92</v>
      </c>
      <c r="F14" s="76">
        <v>6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0.16</v>
      </c>
      <c r="F15" s="79">
        <v>0.19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1.97</v>
      </c>
      <c r="F16" s="76">
        <v>5.17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-0.16</v>
      </c>
      <c r="F17" s="79">
        <v>-0.16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6.4</v>
      </c>
      <c r="F18" s="76">
        <v>12.75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23.395909795065801</v>
      </c>
      <c r="F19" s="79">
        <v>23.8068018862038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1.24</v>
      </c>
      <c r="F20" s="76">
        <v>1.23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31.03</v>
      </c>
      <c r="F21" s="79">
        <v>37.79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19610.830000000002</v>
      </c>
      <c r="F23" s="79">
        <v>21784.44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16753.12</v>
      </c>
      <c r="F24" s="76">
        <v>14314.2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299.17</v>
      </c>
      <c r="F26" s="76">
        <v>0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424</v>
      </c>
      <c r="F27" s="79">
        <v>294.13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17482.55</v>
      </c>
      <c r="F28" s="76">
        <v>19420.5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18756.57</v>
      </c>
      <c r="F29" s="79">
        <v>16384.009999999998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7240.04</v>
      </c>
      <c r="F31" s="79">
        <v>7082.66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1488.68</v>
      </c>
      <c r="F32" s="76">
        <v>2728.88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-32.4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29.47</v>
      </c>
      <c r="F35" s="79">
        <v>20.2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6837.97</v>
      </c>
      <c r="F36" s="76">
        <v>7109.28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1828.88</v>
      </c>
      <c r="F37" s="82">
        <v>2682.06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3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V200"/>
  <sheetViews>
    <sheetView zoomScale="120" zoomScaleNormal="120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2" width="10.83203125" style="28" customWidth="1"/>
  </cols>
  <sheetData>
    <row r="1" spans="1:22">
      <c r="A1" s="54" t="s">
        <v>1</v>
      </c>
      <c r="B1" s="72">
        <v>33704</v>
      </c>
      <c r="C1" s="55" t="s">
        <v>9</v>
      </c>
      <c r="D1" s="74">
        <f>_xlfn.XLOOKUP(B1,'FC-Inv Setup'!A3:A22,'FC-Inv Setup'!I3:I22)</f>
        <v>46127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2">
      <c r="A2" s="54" t="s">
        <v>3</v>
      </c>
      <c r="B2" s="73" t="str">
        <f>_xlfn.XLOOKUP(B1,'FC-Inv Setup'!A3:A22,'FC-Inv Setup'!C3:C22)</f>
        <v>Steven Vaughn</v>
      </c>
      <c r="C2" s="54" t="s">
        <v>125</v>
      </c>
      <c r="D2" s="73" t="str">
        <f>_xlfn.XLOOKUP(B1,'FC-Inv Setup'!A3:A22,'FC-Inv Setup'!K3:K22)</f>
        <v>Medium</v>
      </c>
    </row>
    <row r="3" spans="1:22">
      <c r="A3" s="54" t="s">
        <v>4</v>
      </c>
      <c r="B3" s="73" t="str">
        <f>_xlfn.XLOOKUP(B1,'FC-Inv Setup'!A3:A22,'FC-Inv Setup'!D3:D22)</f>
        <v>Candy Barksdale</v>
      </c>
      <c r="D3" s="73"/>
    </row>
    <row r="4" spans="1:22">
      <c r="A4" s="54" t="s">
        <v>124</v>
      </c>
      <c r="B4" s="73" t="str">
        <f>_xlfn.XLOOKUP(B1,'FC-Inv Setup'!A3:A22,'FC-Inv Setup'!E3:E22)</f>
        <v>Marlena</v>
      </c>
      <c r="D4" s="73"/>
    </row>
    <row r="5" spans="1:22">
      <c r="A5" s="54" t="s">
        <v>10</v>
      </c>
      <c r="B5" s="73" t="str">
        <f>_xlfn.XLOOKUP(B1,'FC-Inv Setup'!A3:A22,'FC-Inv Setup'!J3:J22)</f>
        <v>Friday</v>
      </c>
      <c r="D5" s="73"/>
    </row>
    <row r="6" spans="1:22">
      <c r="C6" s="28" t="s">
        <v>312</v>
      </c>
      <c r="D6" s="28" t="s">
        <v>312</v>
      </c>
    </row>
    <row r="7" spans="1:22" s="2" customFormat="1">
      <c r="A7" s="45" t="s">
        <v>313</v>
      </c>
      <c r="B7" s="86" t="s">
        <v>314</v>
      </c>
      <c r="C7" s="86">
        <v>46031</v>
      </c>
      <c r="D7" s="86">
        <v>46038</v>
      </c>
      <c r="E7" s="86">
        <v>46045</v>
      </c>
      <c r="F7" s="86">
        <v>46052</v>
      </c>
      <c r="G7" s="75">
        <v>46053</v>
      </c>
      <c r="H7" s="75">
        <v>46059</v>
      </c>
      <c r="I7" s="75">
        <v>46066</v>
      </c>
      <c r="J7" s="75">
        <v>46073</v>
      </c>
      <c r="K7" s="75">
        <v>46080</v>
      </c>
      <c r="L7" s="75" t="s">
        <v>316</v>
      </c>
      <c r="M7" s="75">
        <v>46087</v>
      </c>
      <c r="N7" s="75">
        <v>46094</v>
      </c>
      <c r="O7" s="75">
        <v>46101</v>
      </c>
      <c r="P7" s="75">
        <v>46108</v>
      </c>
      <c r="Q7" s="75" t="s">
        <v>317</v>
      </c>
      <c r="R7" s="75">
        <v>46115</v>
      </c>
      <c r="S7" s="75">
        <v>46122</v>
      </c>
      <c r="T7" s="75">
        <v>46129</v>
      </c>
      <c r="U7" s="75">
        <v>46136</v>
      </c>
      <c r="V7" s="87" t="s">
        <v>322</v>
      </c>
    </row>
    <row r="8" spans="1:22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8" t="s">
        <v>324</v>
      </c>
    </row>
    <row r="9" spans="1:22">
      <c r="A9" s="85" t="s">
        <v>325</v>
      </c>
      <c r="B9" s="79"/>
      <c r="C9" s="79"/>
      <c r="D9" s="79"/>
      <c r="E9" s="79">
        <v>71459.09</v>
      </c>
      <c r="F9" s="79">
        <v>50655.59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80"/>
    </row>
    <row r="10" spans="1:22">
      <c r="A10" s="84" t="s">
        <v>326</v>
      </c>
      <c r="B10" s="76"/>
      <c r="C10" s="76"/>
      <c r="D10" s="76"/>
      <c r="E10" s="76">
        <v>3.31</v>
      </c>
      <c r="F10" s="76">
        <v>3.32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81"/>
    </row>
    <row r="11" spans="1:22">
      <c r="A11" s="85" t="s">
        <v>327</v>
      </c>
      <c r="B11" s="79"/>
      <c r="C11" s="79"/>
      <c r="D11" s="79"/>
      <c r="E11" s="79">
        <v>2366.6799999999998</v>
      </c>
      <c r="F11" s="79">
        <v>1679.89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80"/>
    </row>
    <row r="12" spans="1:22">
      <c r="A12" s="84" t="s">
        <v>328</v>
      </c>
      <c r="B12" s="76"/>
      <c r="C12" s="76"/>
      <c r="D12" s="76"/>
      <c r="E12" s="76">
        <v>0.16</v>
      </c>
      <c r="F12" s="76">
        <v>0.2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81"/>
    </row>
    <row r="13" spans="1:22">
      <c r="A13" s="85" t="s">
        <v>329</v>
      </c>
      <c r="B13" s="79"/>
      <c r="C13" s="79"/>
      <c r="D13" s="79"/>
      <c r="E13" s="79">
        <v>0.83</v>
      </c>
      <c r="F13" s="79">
        <v>1.21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80"/>
    </row>
    <row r="14" spans="1:22">
      <c r="A14" s="84" t="s">
        <v>330</v>
      </c>
      <c r="B14" s="76"/>
      <c r="C14" s="76"/>
      <c r="D14" s="76"/>
      <c r="E14" s="76">
        <v>1.53</v>
      </c>
      <c r="F14" s="76">
        <v>1.72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81"/>
    </row>
    <row r="15" spans="1:22">
      <c r="A15" s="85" t="s">
        <v>331</v>
      </c>
      <c r="B15" s="79"/>
      <c r="C15" s="79"/>
      <c r="D15" s="79"/>
      <c r="E15" s="79">
        <v>0.38</v>
      </c>
      <c r="F15" s="79">
        <v>0.49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80"/>
    </row>
    <row r="16" spans="1:22">
      <c r="A16" s="84" t="s">
        <v>332</v>
      </c>
      <c r="B16" s="76"/>
      <c r="C16" s="76"/>
      <c r="D16" s="76"/>
      <c r="E16" s="76">
        <v>0.8</v>
      </c>
      <c r="F16" s="76">
        <v>1.1599999999999999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81"/>
    </row>
    <row r="17" spans="1:22">
      <c r="A17" s="85" t="s">
        <v>333</v>
      </c>
      <c r="B17" s="79"/>
      <c r="C17" s="79"/>
      <c r="D17" s="79"/>
      <c r="E17" s="79">
        <v>-0.04</v>
      </c>
      <c r="F17" s="79">
        <v>-0.02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80"/>
    </row>
    <row r="18" spans="1:22">
      <c r="A18" s="84" t="s">
        <v>334</v>
      </c>
      <c r="B18" s="76"/>
      <c r="C18" s="76"/>
      <c r="D18" s="76"/>
      <c r="E18" s="76">
        <v>3.66</v>
      </c>
      <c r="F18" s="76">
        <v>4.76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81"/>
    </row>
    <row r="19" spans="1:22">
      <c r="A19" s="85" t="s">
        <v>335</v>
      </c>
      <c r="B19" s="79"/>
      <c r="C19" s="79"/>
      <c r="D19" s="79"/>
      <c r="E19" s="79">
        <v>23.283870061196701</v>
      </c>
      <c r="F19" s="79">
        <v>23.566688733194201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80"/>
    </row>
    <row r="20" spans="1:22">
      <c r="A20" s="84" t="s">
        <v>336</v>
      </c>
      <c r="B20" s="76"/>
      <c r="C20" s="76"/>
      <c r="D20" s="76"/>
      <c r="E20" s="76">
        <v>1.65</v>
      </c>
      <c r="F20" s="76">
        <v>1.74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81"/>
    </row>
    <row r="21" spans="1:22">
      <c r="A21" s="85" t="s">
        <v>337</v>
      </c>
      <c r="B21" s="79"/>
      <c r="C21" s="79"/>
      <c r="D21" s="79"/>
      <c r="E21" s="79">
        <v>28.6</v>
      </c>
      <c r="F21" s="79">
        <v>30.06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80"/>
    </row>
    <row r="22" spans="1:22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81"/>
    </row>
    <row r="23" spans="1:22">
      <c r="A23" s="85" t="s">
        <v>339</v>
      </c>
      <c r="B23" s="79"/>
      <c r="C23" s="79"/>
      <c r="D23" s="79"/>
      <c r="E23" s="79">
        <v>27110.65</v>
      </c>
      <c r="F23" s="79">
        <v>25620.240000000002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80"/>
    </row>
    <row r="24" spans="1:22">
      <c r="A24" s="84" t="s">
        <v>340</v>
      </c>
      <c r="B24" s="76"/>
      <c r="C24" s="76"/>
      <c r="D24" s="76"/>
      <c r="E24" s="76">
        <v>16333.34</v>
      </c>
      <c r="F24" s="76">
        <v>14064.75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81"/>
    </row>
    <row r="25" spans="1:22">
      <c r="A25" s="85" t="s">
        <v>341</v>
      </c>
      <c r="B25" s="79"/>
      <c r="C25" s="79"/>
      <c r="D25" s="79"/>
      <c r="E25" s="79">
        <v>0</v>
      </c>
      <c r="F25" s="79">
        <v>-34.130000000000003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80"/>
    </row>
    <row r="26" spans="1:22">
      <c r="A26" s="84" t="s">
        <v>342</v>
      </c>
      <c r="B26" s="76"/>
      <c r="C26" s="76"/>
      <c r="D26" s="76"/>
      <c r="E26" s="76">
        <v>-34.17</v>
      </c>
      <c r="F26" s="76">
        <v>0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81"/>
    </row>
    <row r="27" spans="1:22">
      <c r="A27" s="85" t="s">
        <v>343</v>
      </c>
      <c r="B27" s="79"/>
      <c r="C27" s="79"/>
      <c r="D27" s="79"/>
      <c r="E27" s="79">
        <v>514.16</v>
      </c>
      <c r="F27" s="79">
        <v>373.63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80"/>
    </row>
    <row r="28" spans="1:22">
      <c r="A28" s="84" t="s">
        <v>344</v>
      </c>
      <c r="B28" s="76"/>
      <c r="C28" s="76"/>
      <c r="D28" s="76"/>
      <c r="E28" s="76">
        <v>22458.93</v>
      </c>
      <c r="F28" s="76">
        <v>24048.09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81"/>
    </row>
    <row r="29" spans="1:22">
      <c r="A29" s="85" t="s">
        <v>345</v>
      </c>
      <c r="B29" s="79"/>
      <c r="C29" s="79"/>
      <c r="D29" s="79"/>
      <c r="E29" s="79">
        <v>20436.72</v>
      </c>
      <c r="F29" s="79">
        <v>15229.13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80"/>
    </row>
    <row r="30" spans="1:22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81"/>
    </row>
    <row r="31" spans="1:22">
      <c r="A31" s="85" t="s">
        <v>339</v>
      </c>
      <c r="B31" s="79"/>
      <c r="C31" s="79"/>
      <c r="D31" s="79"/>
      <c r="E31" s="79">
        <v>9968.4</v>
      </c>
      <c r="F31" s="79">
        <v>10203.09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80"/>
    </row>
    <row r="32" spans="1:22">
      <c r="A32" s="84" t="s">
        <v>340</v>
      </c>
      <c r="B32" s="76"/>
      <c r="C32" s="76"/>
      <c r="D32" s="76"/>
      <c r="E32" s="76">
        <v>2189.92</v>
      </c>
      <c r="F32" s="76">
        <v>1097.81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81"/>
    </row>
    <row r="33" spans="1:22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80"/>
    </row>
    <row r="34" spans="1:22">
      <c r="A34" s="84" t="s">
        <v>342</v>
      </c>
      <c r="B34" s="76"/>
      <c r="C34" s="76"/>
      <c r="D34" s="76"/>
      <c r="E34" s="76">
        <v>167.63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81"/>
    </row>
    <row r="35" spans="1:22">
      <c r="A35" s="85" t="s">
        <v>343</v>
      </c>
      <c r="B35" s="79"/>
      <c r="C35" s="79"/>
      <c r="D35" s="79"/>
      <c r="E35" s="79">
        <v>40.53</v>
      </c>
      <c r="F35" s="79">
        <v>28.75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80"/>
    </row>
    <row r="36" spans="1:22">
      <c r="A36" s="84" t="s">
        <v>344</v>
      </c>
      <c r="B36" s="76"/>
      <c r="C36" s="76"/>
      <c r="D36" s="76"/>
      <c r="E36" s="76">
        <v>9918.73</v>
      </c>
      <c r="F36" s="76">
        <v>9592.26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81"/>
    </row>
    <row r="37" spans="1:22">
      <c r="A37" s="85" t="s">
        <v>345</v>
      </c>
      <c r="B37" s="82"/>
      <c r="C37" s="82"/>
      <c r="D37" s="82"/>
      <c r="E37" s="82">
        <v>2366.6799999999998</v>
      </c>
      <c r="F37" s="82">
        <v>1679.89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3"/>
    </row>
    <row r="40" spans="1:22">
      <c r="A40" t="s">
        <v>17</v>
      </c>
    </row>
    <row r="41" spans="1:22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2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2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2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2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2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2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2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V8" xr:uid="{00000000-0002-0000-14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W200"/>
  <sheetViews>
    <sheetView zoomScale="120" zoomScaleNormal="120" workbookViewId="0">
      <pane xSplit="1" ySplit="7" topLeftCell="B9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34222</v>
      </c>
      <c r="C1" s="55" t="s">
        <v>9</v>
      </c>
      <c r="D1" s="74">
        <f>_xlfn.XLOOKUP(B1,'FC-Inv Setup'!A3:A22,'FC-Inv Setup'!I3:I22)</f>
        <v>46155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Steven Vaughn</v>
      </c>
      <c r="C2" s="54" t="s">
        <v>125</v>
      </c>
      <c r="D2" s="73" t="str">
        <f>_xlfn.XLOOKUP(B1,'FC-Inv Setup'!A3:A22,'FC-Inv Setup'!K3:K22)</f>
        <v>Low</v>
      </c>
    </row>
    <row r="3" spans="1:23">
      <c r="A3" s="54" t="s">
        <v>4</v>
      </c>
      <c r="B3" s="73" t="str">
        <f>_xlfn.XLOOKUP(B1,'FC-Inv Setup'!A3:A22,'FC-Inv Setup'!D3:D22)</f>
        <v>Hunter McKee</v>
      </c>
      <c r="D3" s="73"/>
    </row>
    <row r="4" spans="1:23">
      <c r="A4" s="54" t="s">
        <v>124</v>
      </c>
      <c r="B4" s="73" t="str">
        <f>_xlfn.XLOOKUP(B1,'FC-Inv Setup'!A3:A22,'FC-Inv Setup'!E3:E22)</f>
        <v>Kaylee</v>
      </c>
      <c r="D4" s="73"/>
    </row>
    <row r="5" spans="1:23">
      <c r="A5" s="54" t="s">
        <v>10</v>
      </c>
      <c r="B5" s="73" t="str">
        <f>_xlfn.XLOOKUP(B1,'FC-Inv Setup'!A3:A22,'FC-Inv Setup'!J3:J22)</f>
        <v>Monday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46029</v>
      </c>
      <c r="D7" s="86">
        <v>46036</v>
      </c>
      <c r="E7" s="86">
        <v>46043</v>
      </c>
      <c r="F7" s="86">
        <v>46050</v>
      </c>
      <c r="G7" s="75">
        <v>46053</v>
      </c>
      <c r="H7" s="75">
        <v>46057</v>
      </c>
      <c r="I7" s="75">
        <v>46064</v>
      </c>
      <c r="J7" s="75">
        <v>46071</v>
      </c>
      <c r="K7" s="75">
        <v>46078</v>
      </c>
      <c r="L7" s="75" t="s">
        <v>316</v>
      </c>
      <c r="M7" s="75">
        <v>46085</v>
      </c>
      <c r="N7" s="75">
        <v>46092</v>
      </c>
      <c r="O7" s="75">
        <v>46099</v>
      </c>
      <c r="P7" s="75">
        <v>46106</v>
      </c>
      <c r="Q7" s="75" t="s">
        <v>317</v>
      </c>
      <c r="R7" s="75">
        <v>46113</v>
      </c>
      <c r="S7" s="75">
        <v>46120</v>
      </c>
      <c r="T7" s="75">
        <v>46127</v>
      </c>
      <c r="U7" s="75">
        <v>46134</v>
      </c>
      <c r="V7" s="75">
        <v>46141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67380.600000000006</v>
      </c>
      <c r="F9" s="79">
        <v>49812.54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3.1</v>
      </c>
      <c r="F10" s="76">
        <v>3.08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2091.1</v>
      </c>
      <c r="F11" s="79">
        <v>1536.52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0.17</v>
      </c>
      <c r="F12" s="76">
        <v>0.2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0.56000000000000005</v>
      </c>
      <c r="F13" s="79">
        <v>0.76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1.89</v>
      </c>
      <c r="F14" s="76">
        <v>2.1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0.52</v>
      </c>
      <c r="F15" s="79">
        <v>0.56999999999999995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1.08</v>
      </c>
      <c r="F16" s="76">
        <v>1.39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-0.03</v>
      </c>
      <c r="F17" s="79">
        <v>-0.05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4.1900000000000004</v>
      </c>
      <c r="F18" s="76">
        <v>4.97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23.2716460528165</v>
      </c>
      <c r="F19" s="79">
        <v>23.4930595850164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1.44</v>
      </c>
      <c r="F20" s="76">
        <v>1.48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28.91</v>
      </c>
      <c r="F21" s="79">
        <v>29.93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17170.88</v>
      </c>
      <c r="F23" s="79">
        <v>19299.37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19463.990000000002</v>
      </c>
      <c r="F24" s="76">
        <v>14384.9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-34.51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-32.520000000000003</v>
      </c>
      <c r="F26" s="76">
        <v>-17.100000000000001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534.11</v>
      </c>
      <c r="F27" s="79">
        <v>371.02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16555.77</v>
      </c>
      <c r="F28" s="76">
        <v>18384.89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19477.96</v>
      </c>
      <c r="F29" s="79">
        <v>14911.26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5685.24</v>
      </c>
      <c r="F31" s="79">
        <v>5720.86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1916.47</v>
      </c>
      <c r="F32" s="76">
        <v>2992.13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0</v>
      </c>
      <c r="F34" s="76">
        <v>0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38.67</v>
      </c>
      <c r="F35" s="79">
        <v>25.97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5471.93</v>
      </c>
      <c r="F36" s="76">
        <v>7150.51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2091.1</v>
      </c>
      <c r="F37" s="82">
        <v>1536.52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5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W200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35064</v>
      </c>
      <c r="C1" s="55" t="s">
        <v>9</v>
      </c>
      <c r="D1" s="74">
        <f>_xlfn.XLOOKUP(B1,'FC-Inv Setup'!A3:A22,'FC-Inv Setup'!I3:I22)</f>
        <v>46211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Steven Vaughn</v>
      </c>
      <c r="C2" s="54" t="s">
        <v>125</v>
      </c>
      <c r="D2" s="73" t="str">
        <f>_xlfn.XLOOKUP(B1,'FC-Inv Setup'!A3:A22,'FC-Inv Setup'!K3:K22)</f>
        <v>High</v>
      </c>
    </row>
    <row r="3" spans="1:23">
      <c r="A3" s="54" t="s">
        <v>4</v>
      </c>
      <c r="B3" s="73" t="str">
        <f>_xlfn.XLOOKUP(B1,'FC-Inv Setup'!A3:A22,'FC-Inv Setup'!D3:D22)</f>
        <v>Lynsey Yahola</v>
      </c>
      <c r="D3" s="73"/>
    </row>
    <row r="4" spans="1:23">
      <c r="A4" s="54" t="s">
        <v>124</v>
      </c>
      <c r="B4" s="73" t="str">
        <f>_xlfn.XLOOKUP(B1,'FC-Inv Setup'!A3:A22,'FC-Inv Setup'!E3:E22)</f>
        <v>Lynsey</v>
      </c>
      <c r="D4" s="73"/>
    </row>
    <row r="5" spans="1:23">
      <c r="A5" s="54" t="s">
        <v>10</v>
      </c>
      <c r="B5" s="73" t="str">
        <f>_xlfn.XLOOKUP(B1,'FC-Inv Setup'!A3:A22,'FC-Inv Setup'!J3:J22)</f>
        <v>Wednesday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46029</v>
      </c>
      <c r="D7" s="86">
        <v>46036</v>
      </c>
      <c r="E7" s="86">
        <v>46043</v>
      </c>
      <c r="F7" s="86">
        <v>46050</v>
      </c>
      <c r="G7" s="75">
        <v>46053</v>
      </c>
      <c r="H7" s="75">
        <v>46057</v>
      </c>
      <c r="I7" s="75">
        <v>46064</v>
      </c>
      <c r="J7" s="75">
        <v>46071</v>
      </c>
      <c r="K7" s="75">
        <v>46078</v>
      </c>
      <c r="L7" s="75" t="s">
        <v>316</v>
      </c>
      <c r="M7" s="75">
        <v>46085</v>
      </c>
      <c r="N7" s="75">
        <v>46092</v>
      </c>
      <c r="O7" s="75">
        <v>46099</v>
      </c>
      <c r="P7" s="75">
        <v>46106</v>
      </c>
      <c r="Q7" s="75" t="s">
        <v>317</v>
      </c>
      <c r="R7" s="75">
        <v>46113</v>
      </c>
      <c r="S7" s="75">
        <v>46120</v>
      </c>
      <c r="T7" s="75">
        <v>46127</v>
      </c>
      <c r="U7" s="75">
        <v>46134</v>
      </c>
      <c r="V7" s="75">
        <v>46141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 t="s">
        <v>10</v>
      </c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>
        <v>50346.98</v>
      </c>
      <c r="F9" s="79">
        <v>39976.980000000003</v>
      </c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>
        <v>3.46</v>
      </c>
      <c r="F10" s="76">
        <v>3.39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>
        <v>1747.01</v>
      </c>
      <c r="F11" s="79">
        <v>1355.69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>
        <v>0.55000000000000004</v>
      </c>
      <c r="F12" s="76">
        <v>0.4</v>
      </c>
      <c r="G12" s="76"/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>
        <v>1.25</v>
      </c>
      <c r="F13" s="79">
        <v>1.17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>
        <v>1.96</v>
      </c>
      <c r="F14" s="76">
        <v>2.39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>
        <v>0.24</v>
      </c>
      <c r="F15" s="79">
        <v>0.35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>
        <v>-0.04</v>
      </c>
      <c r="F16" s="76">
        <v>6.5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>
        <v>0.01</v>
      </c>
      <c r="F17" s="79">
        <v>-0.04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>
        <v>3.97</v>
      </c>
      <c r="F18" s="76">
        <v>10.77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>
        <v>23.988087571400602</v>
      </c>
      <c r="F19" s="79">
        <v>24.548249006983401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>
        <v>1.35</v>
      </c>
      <c r="F20" s="76">
        <v>1.46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>
        <v>29.31</v>
      </c>
      <c r="F21" s="79">
        <v>36.770000000000003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>
        <v>19019.64</v>
      </c>
      <c r="F23" s="79">
        <v>20179.59</v>
      </c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>
        <v>14639.6</v>
      </c>
      <c r="F24" s="76">
        <v>15252.66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>
        <v>0</v>
      </c>
      <c r="F25" s="79">
        <v>0</v>
      </c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>
        <v>81.38</v>
      </c>
      <c r="F26" s="76">
        <v>-257.24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>
        <v>727</v>
      </c>
      <c r="F27" s="79">
        <v>482.41</v>
      </c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>
        <v>18255.93</v>
      </c>
      <c r="F28" s="76">
        <v>19991.48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>
        <v>14757.7</v>
      </c>
      <c r="F29" s="79">
        <v>14701.13</v>
      </c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>
        <v>7112.74</v>
      </c>
      <c r="F31" s="79">
        <v>7356.8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>
        <v>1770.18</v>
      </c>
      <c r="F32" s="76">
        <v>2051.84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>
        <v>0</v>
      </c>
      <c r="F33" s="79">
        <v>0</v>
      </c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>
        <v>40.64</v>
      </c>
      <c r="F34" s="76">
        <v>-29.29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>
        <v>47.57</v>
      </c>
      <c r="F35" s="79">
        <v>31.74</v>
      </c>
      <c r="G35" s="79"/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>
        <v>7134.98</v>
      </c>
      <c r="F36" s="76">
        <v>7991.92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>
        <v>1741.01</v>
      </c>
      <c r="F37" s="82">
        <v>1355.69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6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W200"/>
  <sheetViews>
    <sheetView zoomScale="120" zoomScaleNormal="120" workbookViewId="0">
      <pane xSplit="1" ySplit="7" topLeftCell="B12" activePane="bottomRight" state="frozen"/>
      <selection pane="topRight" activeCell="B1" sqref="B1"/>
      <selection pane="bottomLeft" activeCell="A8" sqref="A8"/>
      <selection pane="bottomRight" activeCell="A40" sqref="A40:K200"/>
    </sheetView>
  </sheetViews>
  <sheetFormatPr baseColWidth="10" defaultRowHeight="15"/>
  <cols>
    <col min="1" max="1" width="18.6640625" bestFit="1" customWidth="1"/>
    <col min="2" max="2" width="15.5" style="28" bestFit="1" customWidth="1"/>
    <col min="3" max="23" width="10.83203125" style="28" customWidth="1"/>
  </cols>
  <sheetData>
    <row r="1" spans="1:23">
      <c r="A1" s="54" t="s">
        <v>1</v>
      </c>
      <c r="B1" s="72">
        <v>43380</v>
      </c>
      <c r="C1" s="55" t="s">
        <v>9</v>
      </c>
      <c r="D1" s="74">
        <f>_xlfn.XLOOKUP(B1,'FC-Inv Setup'!A3:A22,'FC-Inv Setup'!I3:I22)</f>
        <v>46225</v>
      </c>
      <c r="E1" s="71"/>
      <c r="F1" s="47" t="s">
        <v>7</v>
      </c>
      <c r="G1" s="47"/>
      <c r="H1" s="47" t="s">
        <v>8</v>
      </c>
      <c r="L1" s="63" t="s">
        <v>126</v>
      </c>
      <c r="M1" s="70" t="s">
        <v>127</v>
      </c>
    </row>
    <row r="2" spans="1:23">
      <c r="A2" s="54" t="s">
        <v>3</v>
      </c>
      <c r="B2" s="73" t="str">
        <f>_xlfn.XLOOKUP(B1,'FC-Inv Setup'!A3:A22,'FC-Inv Setup'!C3:C22)</f>
        <v>Ashley Podroza</v>
      </c>
      <c r="C2" s="54" t="s">
        <v>125</v>
      </c>
      <c r="D2" s="73" t="str">
        <f>_xlfn.XLOOKUP(B1,'FC-Inv Setup'!A3:A22,'FC-Inv Setup'!K3:K22)</f>
        <v>Medium</v>
      </c>
    </row>
    <row r="3" spans="1:23">
      <c r="A3" s="54" t="s">
        <v>4</v>
      </c>
      <c r="B3" s="73" t="str">
        <f>_xlfn.XLOOKUP(B1,'FC-Inv Setup'!A3:A22,'FC-Inv Setup'!D3:D22)</f>
        <v>Zukarr Eaves</v>
      </c>
      <c r="D3" s="73"/>
    </row>
    <row r="4" spans="1:23">
      <c r="A4" s="54" t="s">
        <v>124</v>
      </c>
      <c r="B4" s="73" t="str">
        <f>_xlfn.XLOOKUP(B1,'FC-Inv Setup'!A3:A22,'FC-Inv Setup'!E3:E22)</f>
        <v>Zukaar</v>
      </c>
      <c r="D4" s="73"/>
    </row>
    <row r="5" spans="1:23">
      <c r="A5" s="54" t="s">
        <v>10</v>
      </c>
      <c r="B5" s="73" t="str">
        <f>_xlfn.XLOOKUP(B1,'FC-Inv Setup'!A3:A22,'FC-Inv Setup'!J3:J22)</f>
        <v>Saturday</v>
      </c>
      <c r="D5" s="73"/>
    </row>
    <row r="6" spans="1:23">
      <c r="C6" s="28" t="s">
        <v>312</v>
      </c>
      <c r="D6" s="28" t="s">
        <v>312</v>
      </c>
    </row>
    <row r="7" spans="1:23" s="2" customFormat="1">
      <c r="A7" s="45" t="s">
        <v>313</v>
      </c>
      <c r="B7" s="86" t="s">
        <v>314</v>
      </c>
      <c r="C7" s="86">
        <v>46025</v>
      </c>
      <c r="D7" s="86">
        <v>46032</v>
      </c>
      <c r="E7" s="86">
        <v>46039</v>
      </c>
      <c r="F7" s="86">
        <v>46046</v>
      </c>
      <c r="G7" s="75">
        <v>46053</v>
      </c>
      <c r="H7" s="75">
        <v>46053</v>
      </c>
      <c r="I7" s="75">
        <v>46060</v>
      </c>
      <c r="J7" s="75">
        <v>46067</v>
      </c>
      <c r="K7" s="75">
        <v>46074</v>
      </c>
      <c r="L7" s="75">
        <v>46081</v>
      </c>
      <c r="M7" s="75" t="s">
        <v>316</v>
      </c>
      <c r="N7" s="75">
        <v>46088</v>
      </c>
      <c r="O7" s="75">
        <v>46095</v>
      </c>
      <c r="P7" s="75">
        <v>46102</v>
      </c>
      <c r="Q7" s="75">
        <v>46109</v>
      </c>
      <c r="R7" s="75" t="s">
        <v>317</v>
      </c>
      <c r="S7" s="75">
        <v>46116</v>
      </c>
      <c r="T7" s="75">
        <v>46123</v>
      </c>
      <c r="U7" s="75">
        <v>46130</v>
      </c>
      <c r="V7" s="75">
        <v>46137</v>
      </c>
      <c r="W7" s="87" t="s">
        <v>322</v>
      </c>
    </row>
    <row r="8" spans="1:23">
      <c r="A8" s="84" t="s">
        <v>323</v>
      </c>
      <c r="B8" s="76" t="s">
        <v>324</v>
      </c>
      <c r="C8" s="76"/>
      <c r="D8" s="76"/>
      <c r="E8" s="76"/>
      <c r="F8" s="76" t="s">
        <v>10</v>
      </c>
      <c r="G8" s="89" t="s">
        <v>324</v>
      </c>
      <c r="H8" s="77" t="s">
        <v>10</v>
      </c>
      <c r="I8" s="77" t="s">
        <v>10</v>
      </c>
      <c r="J8" s="77" t="s">
        <v>10</v>
      </c>
      <c r="K8" s="77" t="s">
        <v>10</v>
      </c>
      <c r="L8" s="77" t="s">
        <v>324</v>
      </c>
      <c r="M8" s="77" t="s">
        <v>10</v>
      </c>
      <c r="N8" s="77" t="s">
        <v>10</v>
      </c>
      <c r="O8" s="77" t="s">
        <v>10</v>
      </c>
      <c r="P8" s="77" t="s">
        <v>10</v>
      </c>
      <c r="Q8" s="77" t="s">
        <v>324</v>
      </c>
      <c r="R8" s="77" t="s">
        <v>10</v>
      </c>
      <c r="S8" s="77" t="s">
        <v>10</v>
      </c>
      <c r="T8" s="77" t="s">
        <v>10</v>
      </c>
      <c r="U8" s="77" t="s">
        <v>10</v>
      </c>
      <c r="V8" s="77" t="s">
        <v>10</v>
      </c>
      <c r="W8" s="78" t="s">
        <v>324</v>
      </c>
    </row>
    <row r="9" spans="1:23">
      <c r="A9" s="85" t="s">
        <v>325</v>
      </c>
      <c r="B9" s="79"/>
      <c r="C9" s="79"/>
      <c r="D9" s="79"/>
      <c r="E9" s="79"/>
      <c r="F9" s="79">
        <v>37086.76</v>
      </c>
      <c r="G9" s="79">
        <v>30735.72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>
      <c r="A10" s="84" t="s">
        <v>326</v>
      </c>
      <c r="B10" s="76"/>
      <c r="C10" s="76"/>
      <c r="D10" s="76"/>
      <c r="E10" s="76"/>
      <c r="F10" s="76">
        <v>3.06</v>
      </c>
      <c r="G10" s="76">
        <v>5.93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81"/>
    </row>
    <row r="11" spans="1:23">
      <c r="A11" s="85" t="s">
        <v>327</v>
      </c>
      <c r="B11" s="79"/>
      <c r="C11" s="79"/>
      <c r="D11" s="79"/>
      <c r="E11" s="79"/>
      <c r="F11" s="79">
        <v>1133.27</v>
      </c>
      <c r="G11" s="79">
        <v>1821.96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</row>
    <row r="12" spans="1:23">
      <c r="A12" s="84" t="s">
        <v>328</v>
      </c>
      <c r="B12" s="76"/>
      <c r="C12" s="76"/>
      <c r="D12" s="76"/>
      <c r="E12" s="76"/>
      <c r="F12" s="76">
        <v>7.0000000000000007E-2</v>
      </c>
      <c r="G12" s="76">
        <v>7.0000000000000007E-2</v>
      </c>
      <c r="H12" s="76"/>
      <c r="I12" s="76"/>
      <c r="J12" s="76"/>
      <c r="K12" s="76"/>
      <c r="L12" s="76"/>
      <c r="M12" s="76"/>
      <c r="N12" s="88"/>
      <c r="O12" s="76"/>
      <c r="P12" s="76"/>
      <c r="Q12" s="76"/>
      <c r="R12" s="76"/>
      <c r="S12" s="76"/>
      <c r="T12" s="76"/>
      <c r="U12" s="76"/>
      <c r="V12" s="76"/>
      <c r="W12" s="81"/>
    </row>
    <row r="13" spans="1:23">
      <c r="A13" s="85" t="s">
        <v>329</v>
      </c>
      <c r="B13" s="79"/>
      <c r="C13" s="79"/>
      <c r="D13" s="79"/>
      <c r="E13" s="79"/>
      <c r="F13" s="79">
        <v>0.83</v>
      </c>
      <c r="G13" s="79">
        <v>0.64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0"/>
    </row>
    <row r="14" spans="1:23">
      <c r="A14" s="84" t="s">
        <v>330</v>
      </c>
      <c r="B14" s="76"/>
      <c r="C14" s="76"/>
      <c r="D14" s="76"/>
      <c r="E14" s="76"/>
      <c r="F14" s="76">
        <v>2.14</v>
      </c>
      <c r="G14" s="76">
        <v>1.73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81"/>
    </row>
    <row r="15" spans="1:23">
      <c r="A15" s="85" t="s">
        <v>331</v>
      </c>
      <c r="B15" s="79"/>
      <c r="C15" s="79"/>
      <c r="D15" s="79"/>
      <c r="E15" s="79"/>
      <c r="F15" s="79">
        <v>0.16</v>
      </c>
      <c r="G15" s="79">
        <v>0.2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0"/>
    </row>
    <row r="16" spans="1:23">
      <c r="A16" s="84" t="s">
        <v>332</v>
      </c>
      <c r="B16" s="76"/>
      <c r="C16" s="76"/>
      <c r="D16" s="76"/>
      <c r="E16" s="76"/>
      <c r="F16" s="76">
        <v>2.58</v>
      </c>
      <c r="G16" s="76">
        <v>0.62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81"/>
    </row>
    <row r="17" spans="1:23">
      <c r="A17" s="85" t="s">
        <v>333</v>
      </c>
      <c r="B17" s="79"/>
      <c r="C17" s="79"/>
      <c r="D17" s="79"/>
      <c r="E17" s="79"/>
      <c r="F17" s="79">
        <v>-7.0000000000000007E-2</v>
      </c>
      <c r="G17" s="79">
        <v>-0.11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80"/>
    </row>
    <row r="18" spans="1:23">
      <c r="A18" s="84" t="s">
        <v>334</v>
      </c>
      <c r="B18" s="76"/>
      <c r="C18" s="76"/>
      <c r="D18" s="76"/>
      <c r="E18" s="76"/>
      <c r="F18" s="76">
        <v>5.71</v>
      </c>
      <c r="G18" s="76">
        <v>3.15</v>
      </c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81"/>
    </row>
    <row r="19" spans="1:23">
      <c r="A19" s="85" t="s">
        <v>335</v>
      </c>
      <c r="B19" s="79"/>
      <c r="C19" s="79"/>
      <c r="D19" s="79"/>
      <c r="E19" s="79"/>
      <c r="F19" s="79">
        <v>24.210873253439502</v>
      </c>
      <c r="G19" s="79">
        <v>24.773423676367599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80"/>
    </row>
    <row r="20" spans="1:23">
      <c r="A20" s="84" t="s">
        <v>336</v>
      </c>
      <c r="B20" s="76"/>
      <c r="C20" s="76"/>
      <c r="D20" s="76"/>
      <c r="E20" s="76"/>
      <c r="F20" s="76">
        <v>1.32</v>
      </c>
      <c r="G20" s="76">
        <v>1.36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81"/>
    </row>
    <row r="21" spans="1:23">
      <c r="A21" s="85" t="s">
        <v>337</v>
      </c>
      <c r="B21" s="79"/>
      <c r="C21" s="79"/>
      <c r="D21" s="79"/>
      <c r="E21" s="79"/>
      <c r="F21" s="79">
        <v>31.24</v>
      </c>
      <c r="G21" s="79">
        <v>29.28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80"/>
    </row>
    <row r="22" spans="1:23">
      <c r="A22" s="84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81"/>
    </row>
    <row r="23" spans="1:23">
      <c r="A23" s="85" t="s">
        <v>339</v>
      </c>
      <c r="B23" s="79"/>
      <c r="C23" s="79"/>
      <c r="D23" s="79"/>
      <c r="E23" s="79"/>
      <c r="F23" s="79">
        <v>17446.45</v>
      </c>
      <c r="G23" s="79">
        <v>17192.25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</row>
    <row r="24" spans="1:23">
      <c r="A24" s="84" t="s">
        <v>340</v>
      </c>
      <c r="B24" s="76"/>
      <c r="C24" s="76"/>
      <c r="D24" s="76"/>
      <c r="E24" s="76"/>
      <c r="F24" s="76">
        <v>12044.78</v>
      </c>
      <c r="G24" s="76">
        <v>8835.83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81"/>
    </row>
    <row r="25" spans="1:23">
      <c r="A25" s="85" t="s">
        <v>341</v>
      </c>
      <c r="B25" s="79"/>
      <c r="C25" s="79"/>
      <c r="D25" s="79"/>
      <c r="E25" s="79"/>
      <c r="F25" s="79">
        <v>0</v>
      </c>
      <c r="G25" s="79">
        <v>-4639.9799999999996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80"/>
    </row>
    <row r="26" spans="1:23">
      <c r="A26" s="84" t="s">
        <v>342</v>
      </c>
      <c r="B26" s="76"/>
      <c r="C26" s="76"/>
      <c r="D26" s="76"/>
      <c r="E26" s="76"/>
      <c r="F26" s="76">
        <v>-477.53</v>
      </c>
      <c r="G26" s="76">
        <v>190.23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81"/>
    </row>
    <row r="27" spans="1:23">
      <c r="A27" s="85" t="s">
        <v>343</v>
      </c>
      <c r="B27" s="79"/>
      <c r="C27" s="79"/>
      <c r="D27" s="79"/>
      <c r="E27" s="79"/>
      <c r="F27" s="79">
        <v>464.37</v>
      </c>
      <c r="G27" s="79">
        <v>387.49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80"/>
    </row>
    <row r="28" spans="1:23">
      <c r="A28" s="84" t="s">
        <v>344</v>
      </c>
      <c r="B28" s="76"/>
      <c r="C28" s="76"/>
      <c r="D28" s="76"/>
      <c r="E28" s="76"/>
      <c r="F28" s="76">
        <v>16961.599999999999</v>
      </c>
      <c r="G28" s="76">
        <v>12190.62</v>
      </c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81"/>
    </row>
    <row r="29" spans="1:23">
      <c r="A29" s="85" t="s">
        <v>345</v>
      </c>
      <c r="B29" s="79"/>
      <c r="C29" s="79"/>
      <c r="D29" s="79"/>
      <c r="E29" s="79"/>
      <c r="F29" s="79">
        <v>11587.73</v>
      </c>
      <c r="G29" s="79">
        <v>9000.23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</row>
    <row r="30" spans="1:23">
      <c r="A30" s="84" t="s">
        <v>346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81"/>
    </row>
    <row r="31" spans="1:23">
      <c r="A31" s="85" t="s">
        <v>339</v>
      </c>
      <c r="B31" s="79"/>
      <c r="C31" s="79"/>
      <c r="D31" s="79"/>
      <c r="E31" s="79"/>
      <c r="F31" s="79">
        <v>4651.18</v>
      </c>
      <c r="G31" s="79">
        <v>4767.28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</row>
    <row r="32" spans="1:23">
      <c r="A32" s="84" t="s">
        <v>340</v>
      </c>
      <c r="B32" s="76"/>
      <c r="C32" s="76"/>
      <c r="D32" s="76"/>
      <c r="E32" s="76"/>
      <c r="F32" s="76">
        <v>1258.9100000000001</v>
      </c>
      <c r="G32" s="76">
        <v>814.25</v>
      </c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81"/>
    </row>
    <row r="33" spans="1:23">
      <c r="A33" s="85" t="s">
        <v>341</v>
      </c>
      <c r="B33" s="79"/>
      <c r="C33" s="79"/>
      <c r="D33" s="79"/>
      <c r="E33" s="79"/>
      <c r="F33" s="79">
        <v>0</v>
      </c>
      <c r="G33" s="79">
        <v>-484.12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80"/>
    </row>
    <row r="34" spans="1:23">
      <c r="A34" s="84" t="s">
        <v>342</v>
      </c>
      <c r="B34" s="76"/>
      <c r="C34" s="76"/>
      <c r="D34" s="76"/>
      <c r="E34" s="76"/>
      <c r="F34" s="76">
        <v>0</v>
      </c>
      <c r="G34" s="76">
        <v>0</v>
      </c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81"/>
    </row>
    <row r="35" spans="1:23">
      <c r="A35" s="85" t="s">
        <v>343</v>
      </c>
      <c r="B35" s="79"/>
      <c r="C35" s="79"/>
      <c r="D35" s="79"/>
      <c r="E35" s="79"/>
      <c r="F35" s="79">
        <v>31.24</v>
      </c>
      <c r="G35" s="79">
        <v>24.34</v>
      </c>
      <c r="H35" s="79"/>
      <c r="I35" s="79"/>
      <c r="J35" s="79"/>
      <c r="K35" s="9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  <row r="36" spans="1:23">
      <c r="A36" s="84" t="s">
        <v>344</v>
      </c>
      <c r="B36" s="76"/>
      <c r="C36" s="76"/>
      <c r="D36" s="76"/>
      <c r="E36" s="76"/>
      <c r="F36" s="76">
        <v>4745.58</v>
      </c>
      <c r="G36" s="76">
        <v>3251.12</v>
      </c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81"/>
    </row>
    <row r="37" spans="1:23">
      <c r="A37" s="85" t="s">
        <v>345</v>
      </c>
      <c r="B37" s="82"/>
      <c r="C37" s="82"/>
      <c r="D37" s="82"/>
      <c r="E37" s="82"/>
      <c r="F37" s="82">
        <v>1133.27</v>
      </c>
      <c r="G37" s="82">
        <v>1821.96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3"/>
    </row>
    <row r="40" spans="1:23">
      <c r="A40" t="s">
        <v>17</v>
      </c>
    </row>
    <row r="41" spans="1:23">
      <c r="B41" s="142"/>
      <c r="C41" s="143"/>
      <c r="D41" s="143"/>
      <c r="E41" s="143"/>
      <c r="F41" s="143"/>
      <c r="G41" s="143"/>
      <c r="H41" s="143"/>
      <c r="I41" s="143"/>
      <c r="J41" s="143"/>
      <c r="K41" s="143"/>
    </row>
    <row r="42" spans="1:23">
      <c r="B42" s="142"/>
      <c r="C42" s="143"/>
      <c r="D42" s="143"/>
      <c r="E42" s="143"/>
      <c r="F42" s="143"/>
      <c r="G42" s="143"/>
      <c r="H42" s="143"/>
      <c r="I42" s="143"/>
      <c r="J42" s="143"/>
      <c r="K42" s="143"/>
    </row>
    <row r="43" spans="1:23">
      <c r="B43" s="142"/>
      <c r="C43" s="143"/>
      <c r="D43" s="143"/>
      <c r="E43" s="143"/>
      <c r="F43" s="143"/>
      <c r="G43" s="143"/>
      <c r="H43" s="143"/>
      <c r="I43" s="143"/>
      <c r="J43" s="143"/>
      <c r="K43" s="143"/>
    </row>
    <row r="44" spans="1:23">
      <c r="B44" s="142"/>
      <c r="C44" s="143"/>
      <c r="D44" s="143"/>
      <c r="E44" s="143"/>
      <c r="F44" s="143"/>
      <c r="G44" s="143"/>
      <c r="H44" s="143"/>
      <c r="I44" s="143"/>
      <c r="J44" s="143"/>
      <c r="K44" s="143"/>
    </row>
    <row r="45" spans="1:23">
      <c r="B45" s="142"/>
      <c r="C45" s="143"/>
      <c r="D45" s="143"/>
      <c r="E45" s="143"/>
      <c r="F45" s="143"/>
      <c r="G45" s="143"/>
      <c r="H45" s="143"/>
      <c r="I45" s="143"/>
      <c r="J45" s="143"/>
      <c r="K45" s="143"/>
    </row>
    <row r="46" spans="1:23">
      <c r="B46" s="142"/>
      <c r="C46" s="143"/>
      <c r="D46" s="143"/>
      <c r="E46" s="143"/>
      <c r="F46" s="143"/>
      <c r="G46" s="143"/>
      <c r="H46" s="143"/>
      <c r="I46" s="143"/>
      <c r="J46" s="143"/>
      <c r="K46" s="143"/>
    </row>
    <row r="47" spans="1:23">
      <c r="B47" s="142"/>
      <c r="C47" s="143"/>
      <c r="D47" s="143"/>
      <c r="E47" s="143"/>
      <c r="F47" s="143"/>
      <c r="G47" s="143"/>
      <c r="H47" s="143"/>
      <c r="I47" s="143"/>
      <c r="J47" s="143"/>
      <c r="K47" s="143"/>
    </row>
    <row r="48" spans="1:23">
      <c r="B48" s="142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2:11">
      <c r="B49" s="142"/>
      <c r="C49" s="143"/>
      <c r="D49" s="143"/>
      <c r="E49" s="143"/>
      <c r="F49" s="143"/>
      <c r="G49" s="143"/>
      <c r="H49" s="143"/>
      <c r="I49" s="143"/>
      <c r="J49" s="143"/>
      <c r="K49" s="143"/>
    </row>
    <row r="50" spans="2:11">
      <c r="B50" s="142"/>
      <c r="C50" s="143"/>
      <c r="D50" s="143"/>
      <c r="E50" s="143"/>
      <c r="F50" s="143"/>
      <c r="G50" s="143"/>
      <c r="H50" s="143"/>
      <c r="I50" s="143"/>
      <c r="J50" s="143"/>
      <c r="K50" s="143"/>
    </row>
    <row r="51" spans="2:11">
      <c r="B51" s="142"/>
      <c r="C51" s="143"/>
      <c r="D51" s="143"/>
      <c r="E51" s="143"/>
      <c r="F51" s="143"/>
      <c r="G51" s="143"/>
      <c r="H51" s="143"/>
      <c r="I51" s="143"/>
      <c r="J51" s="143"/>
      <c r="K51" s="143"/>
    </row>
    <row r="52" spans="2:11">
      <c r="B52" s="142"/>
      <c r="C52" s="143"/>
      <c r="D52" s="143"/>
      <c r="E52" s="143"/>
      <c r="F52" s="143"/>
      <c r="G52" s="143"/>
      <c r="H52" s="143"/>
      <c r="I52" s="143"/>
      <c r="J52" s="143"/>
      <c r="K52" s="143"/>
    </row>
    <row r="53" spans="2:11">
      <c r="B53" s="142"/>
      <c r="C53" s="143"/>
      <c r="D53" s="143"/>
      <c r="E53" s="143"/>
      <c r="F53" s="143"/>
      <c r="G53" s="143"/>
      <c r="H53" s="143"/>
      <c r="I53" s="143"/>
      <c r="J53" s="143"/>
      <c r="K53" s="143"/>
    </row>
    <row r="54" spans="2:11">
      <c r="B54" s="142"/>
      <c r="C54" s="143"/>
      <c r="D54" s="143"/>
      <c r="E54" s="143"/>
      <c r="F54" s="143"/>
      <c r="G54" s="143"/>
      <c r="H54" s="143"/>
      <c r="I54" s="143"/>
      <c r="J54" s="143"/>
      <c r="K54" s="143"/>
    </row>
    <row r="55" spans="2:11">
      <c r="B55" s="142"/>
      <c r="C55" s="143"/>
      <c r="D55" s="143"/>
      <c r="E55" s="143"/>
      <c r="F55" s="143"/>
      <c r="G55" s="143"/>
      <c r="H55" s="143"/>
      <c r="I55" s="143"/>
      <c r="J55" s="143"/>
      <c r="K55" s="143"/>
    </row>
    <row r="56" spans="2:11">
      <c r="B56" s="142"/>
      <c r="C56" s="143"/>
      <c r="D56" s="143"/>
      <c r="E56" s="143"/>
      <c r="F56" s="143"/>
      <c r="G56" s="143"/>
      <c r="H56" s="143"/>
      <c r="I56" s="143"/>
      <c r="J56" s="143"/>
      <c r="K56" s="143"/>
    </row>
    <row r="57" spans="2:11">
      <c r="B57" s="142"/>
      <c r="C57" s="143"/>
      <c r="D57" s="143"/>
      <c r="E57" s="143"/>
      <c r="F57" s="143"/>
      <c r="G57" s="143"/>
      <c r="H57" s="143"/>
      <c r="I57" s="143"/>
      <c r="J57" s="143"/>
      <c r="K57" s="143"/>
    </row>
    <row r="58" spans="2:11">
      <c r="B58" s="142"/>
      <c r="C58" s="143"/>
      <c r="D58" s="143"/>
      <c r="E58" s="143"/>
      <c r="F58" s="143"/>
      <c r="G58" s="143"/>
      <c r="H58" s="143"/>
      <c r="I58" s="143"/>
      <c r="J58" s="143"/>
      <c r="K58" s="143"/>
    </row>
    <row r="59" spans="2:11">
      <c r="B59" s="142"/>
      <c r="C59" s="143"/>
      <c r="D59" s="143"/>
      <c r="E59" s="143"/>
      <c r="F59" s="143"/>
      <c r="G59" s="143"/>
      <c r="H59" s="143"/>
      <c r="I59" s="143"/>
      <c r="J59" s="143"/>
      <c r="K59" s="143"/>
    </row>
    <row r="60" spans="2:11">
      <c r="B60" s="142"/>
      <c r="C60" s="143"/>
      <c r="D60" s="143"/>
      <c r="E60" s="143"/>
      <c r="F60" s="143"/>
      <c r="G60" s="143"/>
      <c r="H60" s="143"/>
      <c r="I60" s="143"/>
      <c r="J60" s="143"/>
      <c r="K60" s="143"/>
    </row>
    <row r="61" spans="2:11">
      <c r="B61" s="142"/>
      <c r="C61" s="143"/>
      <c r="D61" s="143"/>
      <c r="E61" s="143"/>
      <c r="F61" s="143"/>
      <c r="G61" s="143"/>
      <c r="H61" s="143"/>
      <c r="I61" s="143"/>
      <c r="J61" s="143"/>
      <c r="K61" s="143"/>
    </row>
    <row r="62" spans="2:11">
      <c r="B62" s="142"/>
      <c r="C62" s="143"/>
      <c r="D62" s="143"/>
      <c r="E62" s="143"/>
      <c r="F62" s="143"/>
      <c r="G62" s="143"/>
      <c r="H62" s="143"/>
      <c r="I62" s="143"/>
      <c r="J62" s="143"/>
      <c r="K62" s="143"/>
    </row>
    <row r="63" spans="2:11">
      <c r="B63" s="142"/>
      <c r="C63" s="143"/>
      <c r="D63" s="143"/>
      <c r="E63" s="143"/>
      <c r="F63" s="143"/>
      <c r="G63" s="143"/>
      <c r="H63" s="143"/>
      <c r="I63" s="143"/>
      <c r="J63" s="143"/>
      <c r="K63" s="143"/>
    </row>
    <row r="64" spans="2:11">
      <c r="B64" s="142"/>
      <c r="C64" s="143"/>
      <c r="D64" s="143"/>
      <c r="E64" s="143"/>
      <c r="F64" s="143"/>
      <c r="G64" s="143"/>
      <c r="H64" s="143"/>
      <c r="I64" s="143"/>
      <c r="J64" s="143"/>
      <c r="K64" s="143"/>
    </row>
    <row r="65" spans="2:11">
      <c r="B65" s="142"/>
      <c r="C65" s="143"/>
      <c r="D65" s="143"/>
      <c r="E65" s="143"/>
      <c r="F65" s="143"/>
      <c r="G65" s="143"/>
      <c r="H65" s="143"/>
      <c r="I65" s="143"/>
      <c r="J65" s="143"/>
      <c r="K65" s="143"/>
    </row>
    <row r="66" spans="2:11">
      <c r="B66" s="142"/>
      <c r="C66" s="143"/>
      <c r="D66" s="143"/>
      <c r="E66" s="143"/>
      <c r="F66" s="143"/>
      <c r="G66" s="143"/>
      <c r="H66" s="143"/>
      <c r="I66" s="143"/>
      <c r="J66" s="143"/>
      <c r="K66" s="143"/>
    </row>
    <row r="67" spans="2:11">
      <c r="B67" s="142"/>
      <c r="C67" s="143"/>
      <c r="D67" s="143"/>
      <c r="E67" s="143"/>
      <c r="F67" s="143"/>
      <c r="G67" s="143"/>
      <c r="H67" s="143"/>
      <c r="I67" s="143"/>
      <c r="J67" s="143"/>
      <c r="K67" s="143"/>
    </row>
    <row r="68" spans="2:11">
      <c r="B68" s="142"/>
      <c r="C68" s="143"/>
      <c r="D68" s="143"/>
      <c r="E68" s="143"/>
      <c r="F68" s="143"/>
      <c r="G68" s="143"/>
      <c r="H68" s="143"/>
      <c r="I68" s="143"/>
      <c r="J68" s="143"/>
      <c r="K68" s="143"/>
    </row>
    <row r="69" spans="2:11">
      <c r="B69" s="142"/>
      <c r="C69" s="143"/>
      <c r="D69" s="143"/>
      <c r="E69" s="143"/>
      <c r="F69" s="143"/>
      <c r="G69" s="143"/>
      <c r="H69" s="143"/>
      <c r="I69" s="143"/>
      <c r="J69" s="143"/>
      <c r="K69" s="143"/>
    </row>
    <row r="70" spans="2:11">
      <c r="B70" s="142"/>
      <c r="C70" s="143"/>
      <c r="D70" s="143"/>
      <c r="E70" s="143"/>
      <c r="F70" s="143"/>
      <c r="G70" s="143"/>
      <c r="H70" s="143"/>
      <c r="I70" s="143"/>
      <c r="J70" s="143"/>
      <c r="K70" s="143"/>
    </row>
    <row r="71" spans="2:11">
      <c r="B71" s="142"/>
      <c r="C71" s="143"/>
      <c r="D71" s="143"/>
      <c r="E71" s="143"/>
      <c r="F71" s="143"/>
      <c r="G71" s="143"/>
      <c r="H71" s="143"/>
      <c r="I71" s="143"/>
      <c r="J71" s="143"/>
      <c r="K71" s="143"/>
    </row>
    <row r="72" spans="2:11">
      <c r="B72" s="142"/>
      <c r="C72" s="143"/>
      <c r="D72" s="143"/>
      <c r="E72" s="143"/>
      <c r="F72" s="143"/>
      <c r="G72" s="143"/>
      <c r="H72" s="143"/>
      <c r="I72" s="143"/>
      <c r="J72" s="143"/>
      <c r="K72" s="143"/>
    </row>
    <row r="73" spans="2:11">
      <c r="B73" s="142"/>
      <c r="C73" s="143"/>
      <c r="D73" s="143"/>
      <c r="E73" s="143"/>
      <c r="F73" s="143"/>
      <c r="G73" s="143"/>
      <c r="H73" s="143"/>
      <c r="I73" s="143"/>
      <c r="J73" s="143"/>
      <c r="K73" s="143"/>
    </row>
    <row r="74" spans="2:11">
      <c r="B74" s="142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2:11">
      <c r="B75" s="142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2:11">
      <c r="B76" s="142"/>
      <c r="C76" s="143"/>
      <c r="D76" s="143"/>
      <c r="E76" s="143"/>
      <c r="F76" s="143"/>
      <c r="G76" s="143"/>
      <c r="H76" s="143"/>
      <c r="I76" s="143"/>
      <c r="J76" s="143"/>
      <c r="K76" s="143"/>
    </row>
    <row r="77" spans="2:11">
      <c r="B77" s="142"/>
      <c r="C77" s="143"/>
      <c r="D77" s="143"/>
      <c r="E77" s="143"/>
      <c r="F77" s="143"/>
      <c r="G77" s="143"/>
      <c r="H77" s="143"/>
      <c r="I77" s="143"/>
      <c r="J77" s="143"/>
      <c r="K77" s="143"/>
    </row>
    <row r="78" spans="2:11">
      <c r="B78" s="142"/>
      <c r="C78" s="143"/>
      <c r="D78" s="143"/>
      <c r="E78" s="143"/>
      <c r="F78" s="143"/>
      <c r="G78" s="143"/>
      <c r="H78" s="143"/>
      <c r="I78" s="143"/>
      <c r="J78" s="143"/>
      <c r="K78" s="143"/>
    </row>
    <row r="79" spans="2:11">
      <c r="B79" s="142"/>
      <c r="C79" s="143"/>
      <c r="D79" s="143"/>
      <c r="E79" s="143"/>
      <c r="F79" s="143"/>
      <c r="G79" s="143"/>
      <c r="H79" s="143"/>
      <c r="I79" s="143"/>
      <c r="J79" s="143"/>
      <c r="K79" s="143"/>
    </row>
    <row r="80" spans="2:11">
      <c r="B80" s="142"/>
      <c r="C80" s="143"/>
      <c r="D80" s="143"/>
      <c r="E80" s="143"/>
      <c r="F80" s="143"/>
      <c r="G80" s="143"/>
      <c r="H80" s="143"/>
      <c r="I80" s="143"/>
      <c r="J80" s="143"/>
      <c r="K80" s="143"/>
    </row>
    <row r="81" spans="2:11">
      <c r="B81" s="142"/>
      <c r="C81" s="143"/>
      <c r="D81" s="143"/>
      <c r="E81" s="143"/>
      <c r="F81" s="143"/>
      <c r="G81" s="143"/>
      <c r="H81" s="143"/>
      <c r="I81" s="143"/>
      <c r="J81" s="143"/>
      <c r="K81" s="143"/>
    </row>
    <row r="82" spans="2:11">
      <c r="B82" s="142"/>
      <c r="C82" s="143"/>
      <c r="D82" s="143"/>
      <c r="E82" s="143"/>
      <c r="F82" s="143"/>
      <c r="G82" s="143"/>
      <c r="H82" s="143"/>
      <c r="I82" s="143"/>
      <c r="J82" s="143"/>
      <c r="K82" s="143"/>
    </row>
    <row r="83" spans="2:11">
      <c r="B83" s="142"/>
      <c r="C83" s="143"/>
      <c r="D83" s="143"/>
      <c r="E83" s="143"/>
      <c r="F83" s="143"/>
      <c r="G83" s="143"/>
      <c r="H83" s="143"/>
      <c r="I83" s="143"/>
      <c r="J83" s="143"/>
      <c r="K83" s="143"/>
    </row>
    <row r="84" spans="2:11">
      <c r="B84" s="142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2:11">
      <c r="B85" s="142"/>
      <c r="C85" s="143"/>
      <c r="D85" s="143"/>
      <c r="E85" s="143"/>
      <c r="F85" s="143"/>
      <c r="G85" s="143"/>
      <c r="H85" s="143"/>
      <c r="I85" s="143"/>
      <c r="J85" s="143"/>
      <c r="K85" s="143"/>
    </row>
    <row r="86" spans="2:11">
      <c r="B86" s="142"/>
      <c r="C86" s="143"/>
      <c r="D86" s="143"/>
      <c r="E86" s="143"/>
      <c r="F86" s="143"/>
      <c r="G86" s="143"/>
      <c r="H86" s="143"/>
      <c r="I86" s="143"/>
      <c r="J86" s="143"/>
      <c r="K86" s="143"/>
    </row>
    <row r="87" spans="2:11">
      <c r="B87" s="142"/>
      <c r="C87" s="143"/>
      <c r="D87" s="143"/>
      <c r="E87" s="143"/>
      <c r="F87" s="143"/>
      <c r="G87" s="143"/>
      <c r="H87" s="143"/>
      <c r="I87" s="143"/>
      <c r="J87" s="143"/>
      <c r="K87" s="143"/>
    </row>
    <row r="88" spans="2:11">
      <c r="B88" s="142"/>
      <c r="C88" s="143"/>
      <c r="D88" s="143"/>
      <c r="E88" s="143"/>
      <c r="F88" s="143"/>
      <c r="G88" s="143"/>
      <c r="H88" s="143"/>
      <c r="I88" s="143"/>
      <c r="J88" s="143"/>
      <c r="K88" s="143"/>
    </row>
    <row r="89" spans="2:11">
      <c r="B89" s="142"/>
      <c r="C89" s="143"/>
      <c r="D89" s="143"/>
      <c r="E89" s="143"/>
      <c r="F89" s="143"/>
      <c r="G89" s="143"/>
      <c r="H89" s="143"/>
      <c r="I89" s="143"/>
      <c r="J89" s="143"/>
      <c r="K89" s="143"/>
    </row>
    <row r="90" spans="2:11">
      <c r="B90" s="142"/>
      <c r="C90" s="143"/>
      <c r="D90" s="143"/>
      <c r="E90" s="143"/>
      <c r="F90" s="143"/>
      <c r="G90" s="143"/>
      <c r="H90" s="143"/>
      <c r="I90" s="143"/>
      <c r="J90" s="143"/>
      <c r="K90" s="143"/>
    </row>
    <row r="91" spans="2:11">
      <c r="B91" s="142"/>
      <c r="C91" s="143"/>
      <c r="D91" s="143"/>
      <c r="E91" s="143"/>
      <c r="F91" s="143"/>
      <c r="G91" s="143"/>
      <c r="H91" s="143"/>
      <c r="I91" s="143"/>
      <c r="J91" s="143"/>
      <c r="K91" s="143"/>
    </row>
    <row r="92" spans="2:11">
      <c r="B92" s="142"/>
      <c r="C92" s="143"/>
      <c r="D92" s="143"/>
      <c r="E92" s="143"/>
      <c r="F92" s="143"/>
      <c r="G92" s="143"/>
      <c r="H92" s="143"/>
      <c r="I92" s="143"/>
      <c r="J92" s="143"/>
      <c r="K92" s="143"/>
    </row>
    <row r="93" spans="2:11">
      <c r="B93" s="142"/>
      <c r="C93" s="143"/>
      <c r="D93" s="143"/>
      <c r="E93" s="143"/>
      <c r="F93" s="143"/>
      <c r="G93" s="143"/>
      <c r="H93" s="143"/>
      <c r="I93" s="143"/>
      <c r="J93" s="143"/>
      <c r="K93" s="143"/>
    </row>
    <row r="94" spans="2:11">
      <c r="B94" s="142"/>
      <c r="C94" s="143"/>
      <c r="D94" s="143"/>
      <c r="E94" s="143"/>
      <c r="F94" s="143"/>
      <c r="G94" s="143"/>
      <c r="H94" s="143"/>
      <c r="I94" s="143"/>
      <c r="J94" s="143"/>
      <c r="K94" s="143"/>
    </row>
    <row r="95" spans="2:11">
      <c r="B95" s="142"/>
      <c r="C95" s="143"/>
      <c r="D95" s="143"/>
      <c r="E95" s="143"/>
      <c r="F95" s="143"/>
      <c r="G95" s="143"/>
      <c r="H95" s="143"/>
      <c r="I95" s="143"/>
      <c r="J95" s="143"/>
      <c r="K95" s="143"/>
    </row>
    <row r="96" spans="2:11">
      <c r="B96" s="142"/>
      <c r="C96" s="143"/>
      <c r="D96" s="143"/>
      <c r="E96" s="143"/>
      <c r="F96" s="143"/>
      <c r="G96" s="143"/>
      <c r="H96" s="143"/>
      <c r="I96" s="143"/>
      <c r="J96" s="143"/>
      <c r="K96" s="143"/>
    </row>
    <row r="97" spans="2:11">
      <c r="B97" s="142"/>
      <c r="C97" s="143"/>
      <c r="D97" s="143"/>
      <c r="E97" s="143"/>
      <c r="F97" s="143"/>
      <c r="G97" s="143"/>
      <c r="H97" s="143"/>
      <c r="I97" s="143"/>
      <c r="J97" s="143"/>
      <c r="K97" s="143"/>
    </row>
    <row r="98" spans="2:11">
      <c r="B98" s="142"/>
      <c r="C98" s="143"/>
      <c r="D98" s="143"/>
      <c r="E98" s="143"/>
      <c r="F98" s="143"/>
      <c r="G98" s="143"/>
      <c r="H98" s="143"/>
      <c r="I98" s="143"/>
      <c r="J98" s="143"/>
      <c r="K98" s="143"/>
    </row>
    <row r="99" spans="2:11">
      <c r="B99" s="142"/>
      <c r="C99" s="143"/>
      <c r="D99" s="143"/>
      <c r="E99" s="143"/>
      <c r="F99" s="143"/>
      <c r="G99" s="143"/>
      <c r="H99" s="143"/>
      <c r="I99" s="143"/>
      <c r="J99" s="143"/>
      <c r="K99" s="143"/>
    </row>
    <row r="100" spans="2:11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 spans="2:11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 spans="2:11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 spans="2:11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2:11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 spans="2:11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2:11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 spans="2:11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 spans="2:11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 spans="2:11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 spans="2:11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 spans="2:11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 spans="2:11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 spans="2:11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 spans="2:11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 spans="2:11">
      <c r="B115" s="142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 spans="2:11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 spans="2:11">
      <c r="B117" s="142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 spans="2:11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 spans="2:11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 spans="2:11">
      <c r="B120" s="142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 spans="2:11">
      <c r="B122" s="142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 spans="2:11">
      <c r="B123" s="142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 spans="2:11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 spans="2:11">
      <c r="B125" s="142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 spans="2:11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 spans="2:11">
      <c r="B127" s="142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 spans="2:11">
      <c r="B128" s="142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 spans="2:11">
      <c r="B129" s="142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 spans="2:11">
      <c r="B130" s="142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 spans="2:11">
      <c r="B131" s="142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 spans="2:11">
      <c r="B132" s="142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 spans="2:11">
      <c r="B133" s="142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 spans="2:11">
      <c r="B134" s="142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 spans="2:11">
      <c r="B135" s="142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 spans="2:11">
      <c r="B136" s="142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 spans="2:11">
      <c r="B137" s="142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 spans="2:11">
      <c r="B138" s="142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 spans="2:11">
      <c r="B139" s="142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 spans="2:11">
      <c r="B140" s="142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 spans="2:11">
      <c r="B141" s="142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 spans="2:11">
      <c r="B142" s="142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 spans="2:11">
      <c r="B143" s="142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 spans="2:11">
      <c r="B144" s="142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 spans="2:11">
      <c r="B145" s="142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 spans="2:11">
      <c r="B146" s="142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 spans="2:11">
      <c r="B147" s="142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 spans="2:11">
      <c r="B148" s="142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 spans="2:11">
      <c r="B149" s="142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 spans="2:11">
      <c r="B150" s="142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 spans="2:11">
      <c r="B151" s="142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 spans="2:11">
      <c r="B152" s="142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 spans="2:11">
      <c r="B153" s="142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 spans="2:11">
      <c r="B154" s="142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 spans="2:11">
      <c r="B155" s="142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 spans="2:11">
      <c r="B156" s="142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 spans="2:11">
      <c r="B157" s="142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 spans="2:11">
      <c r="B158" s="142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 spans="2:11">
      <c r="B159" s="142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 spans="2:11">
      <c r="B160" s="142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 spans="2:11">
      <c r="B161" s="142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 spans="2:11">
      <c r="B162" s="142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 spans="2:11">
      <c r="B163" s="142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 spans="2:11">
      <c r="B164" s="142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 spans="2:11">
      <c r="B165" s="142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 spans="2:11">
      <c r="B166" s="142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 spans="2:11">
      <c r="B167" s="142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 spans="2:11">
      <c r="B168" s="142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 spans="2:11">
      <c r="B169" s="142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 spans="2:11">
      <c r="B170" s="142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 spans="2:11">
      <c r="B171" s="142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 spans="2:11">
      <c r="B172" s="142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 spans="2:11">
      <c r="B173" s="142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 spans="2:11">
      <c r="B174" s="142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 spans="2:11">
      <c r="B175" s="142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 spans="2:11">
      <c r="B176" s="142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 spans="2:11">
      <c r="B177" s="142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 spans="2:11">
      <c r="B178" s="142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 spans="2:11">
      <c r="B179" s="142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 spans="2:11">
      <c r="B180" s="142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 spans="2:11">
      <c r="B181" s="142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 spans="2:11">
      <c r="B182" s="142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 spans="2:11">
      <c r="B183" s="142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 spans="2:11">
      <c r="B184" s="142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 spans="2:11">
      <c r="B185" s="142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 spans="2:11">
      <c r="B186" s="142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 spans="2:11">
      <c r="B187" s="142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 spans="2:11">
      <c r="B188" s="142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 spans="2:11">
      <c r="B189" s="142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 spans="2:11">
      <c r="B190" s="142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 spans="2:11">
      <c r="B191" s="142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 spans="2:11">
      <c r="B192" s="142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 spans="2:11">
      <c r="B193" s="142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 spans="2:11">
      <c r="B194" s="142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 spans="2:11">
      <c r="B195" s="142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 spans="2:11">
      <c r="B196" s="142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 spans="2:11">
      <c r="B197" s="142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 spans="2:11">
      <c r="B198" s="142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 spans="2:11">
      <c r="B199" s="142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 spans="2:11">
      <c r="B200" s="142"/>
      <c r="C200" s="143"/>
      <c r="D200" s="143"/>
      <c r="E200" s="143"/>
      <c r="F200" s="143"/>
      <c r="G200" s="143"/>
      <c r="H200" s="143"/>
      <c r="I200" s="143"/>
      <c r="J200" s="143"/>
      <c r="K200" s="143"/>
    </row>
  </sheetData>
  <mergeCells count="160">
    <mergeCell ref="B71:K71"/>
    <mergeCell ref="B131:K131"/>
    <mergeCell ref="B58:K58"/>
    <mergeCell ref="B52:K52"/>
    <mergeCell ref="B180:K180"/>
    <mergeCell ref="B195:K195"/>
    <mergeCell ref="B42:K42"/>
    <mergeCell ref="B60:K60"/>
    <mergeCell ref="B170:K170"/>
    <mergeCell ref="B57:K57"/>
    <mergeCell ref="B148:K148"/>
    <mergeCell ref="B179:K179"/>
    <mergeCell ref="B157:K157"/>
    <mergeCell ref="B166:K166"/>
    <mergeCell ref="B44:K44"/>
    <mergeCell ref="B53:K53"/>
    <mergeCell ref="B172:K172"/>
    <mergeCell ref="B79:K79"/>
    <mergeCell ref="B197:K197"/>
    <mergeCell ref="B97:K97"/>
    <mergeCell ref="B153:K153"/>
    <mergeCell ref="B106:K106"/>
    <mergeCell ref="B129:K129"/>
    <mergeCell ref="B200:K200"/>
    <mergeCell ref="B194:K194"/>
    <mergeCell ref="B81:K81"/>
    <mergeCell ref="B90:K90"/>
    <mergeCell ref="B122:K122"/>
    <mergeCell ref="B184:K184"/>
    <mergeCell ref="B51:K51"/>
    <mergeCell ref="B114:K114"/>
    <mergeCell ref="B63:K63"/>
    <mergeCell ref="B154:K154"/>
    <mergeCell ref="B123:K123"/>
    <mergeCell ref="B41:K41"/>
    <mergeCell ref="B163:K163"/>
    <mergeCell ref="B50:K50"/>
    <mergeCell ref="B138:K138"/>
    <mergeCell ref="B113:K113"/>
    <mergeCell ref="B91:K91"/>
    <mergeCell ref="B156:K156"/>
    <mergeCell ref="B66:K66"/>
    <mergeCell ref="B140:K140"/>
    <mergeCell ref="B155:K155"/>
    <mergeCell ref="B115:K115"/>
    <mergeCell ref="B93:K93"/>
    <mergeCell ref="B149:K149"/>
    <mergeCell ref="B130:K130"/>
    <mergeCell ref="B77:K77"/>
    <mergeCell ref="B117:K117"/>
    <mergeCell ref="B86:K86"/>
    <mergeCell ref="B151:K151"/>
    <mergeCell ref="B67:K67"/>
    <mergeCell ref="B47:K47"/>
    <mergeCell ref="B62:K62"/>
    <mergeCell ref="B141:K141"/>
    <mergeCell ref="B59:K59"/>
    <mergeCell ref="B193:K193"/>
    <mergeCell ref="B150:K150"/>
    <mergeCell ref="B190:K190"/>
    <mergeCell ref="B46:K46"/>
    <mergeCell ref="B102:K102"/>
    <mergeCell ref="B152:K152"/>
    <mergeCell ref="B48:K48"/>
    <mergeCell ref="B136:K136"/>
    <mergeCell ref="B145:K145"/>
    <mergeCell ref="B181:K181"/>
    <mergeCell ref="B191:K191"/>
    <mergeCell ref="B73:K73"/>
    <mergeCell ref="B87:K87"/>
    <mergeCell ref="B178:K178"/>
    <mergeCell ref="B147:K147"/>
    <mergeCell ref="B128:K128"/>
    <mergeCell ref="B137:K137"/>
    <mergeCell ref="B49:K49"/>
    <mergeCell ref="B183:K183"/>
    <mergeCell ref="B65:K65"/>
    <mergeCell ref="B43:K43"/>
    <mergeCell ref="B111:K111"/>
    <mergeCell ref="B120:K120"/>
    <mergeCell ref="B98:K98"/>
    <mergeCell ref="B107:K107"/>
    <mergeCell ref="B175:K175"/>
    <mergeCell ref="B88:K88"/>
    <mergeCell ref="B82:K82"/>
    <mergeCell ref="B162:K162"/>
    <mergeCell ref="B171:K171"/>
    <mergeCell ref="B146:K146"/>
    <mergeCell ref="B99:K99"/>
    <mergeCell ref="B74:K74"/>
    <mergeCell ref="B68:K68"/>
    <mergeCell ref="B83:K83"/>
    <mergeCell ref="B139:K139"/>
    <mergeCell ref="B124:K124"/>
    <mergeCell ref="B76:K76"/>
    <mergeCell ref="B45:K45"/>
    <mergeCell ref="B110:K110"/>
    <mergeCell ref="B85:K85"/>
    <mergeCell ref="B173:K173"/>
    <mergeCell ref="B126:K126"/>
    <mergeCell ref="B100:K100"/>
    <mergeCell ref="B199:K199"/>
    <mergeCell ref="B72:K72"/>
    <mergeCell ref="B121:K121"/>
    <mergeCell ref="B96:K96"/>
    <mergeCell ref="B56:K56"/>
    <mergeCell ref="B167:K167"/>
    <mergeCell ref="B70:K70"/>
    <mergeCell ref="B105:K105"/>
    <mergeCell ref="B161:K161"/>
    <mergeCell ref="B176:K176"/>
    <mergeCell ref="B187:K187"/>
    <mergeCell ref="B189:K189"/>
    <mergeCell ref="B188:K188"/>
    <mergeCell ref="B75:K75"/>
    <mergeCell ref="B109:K109"/>
    <mergeCell ref="B177:K177"/>
    <mergeCell ref="B192:K192"/>
    <mergeCell ref="B164:K164"/>
    <mergeCell ref="B165:K165"/>
    <mergeCell ref="B61:K61"/>
    <mergeCell ref="B132:K132"/>
    <mergeCell ref="B101:K101"/>
    <mergeCell ref="B119:K119"/>
    <mergeCell ref="B116:K116"/>
    <mergeCell ref="B198:K198"/>
    <mergeCell ref="B80:K80"/>
    <mergeCell ref="B94:K94"/>
    <mergeCell ref="B160:K160"/>
    <mergeCell ref="B135:K135"/>
    <mergeCell ref="B144:K144"/>
    <mergeCell ref="B54:K54"/>
    <mergeCell ref="B125:K125"/>
    <mergeCell ref="B185:K185"/>
    <mergeCell ref="B159:K159"/>
    <mergeCell ref="B134:K134"/>
    <mergeCell ref="B182:K182"/>
    <mergeCell ref="B69:K69"/>
    <mergeCell ref="B196:K196"/>
    <mergeCell ref="B103:K103"/>
    <mergeCell ref="B78:K78"/>
    <mergeCell ref="B112:K112"/>
    <mergeCell ref="B118:K118"/>
    <mergeCell ref="B127:K127"/>
    <mergeCell ref="B55:K55"/>
    <mergeCell ref="B95:K95"/>
    <mergeCell ref="B64:K64"/>
    <mergeCell ref="B89:K89"/>
    <mergeCell ref="B104:K104"/>
    <mergeCell ref="B174:K174"/>
    <mergeCell ref="B186:K186"/>
    <mergeCell ref="B108:K108"/>
    <mergeCell ref="B168:K168"/>
    <mergeCell ref="B84:K84"/>
    <mergeCell ref="B143:K143"/>
    <mergeCell ref="B92:K92"/>
    <mergeCell ref="B158:K158"/>
    <mergeCell ref="B133:K133"/>
    <mergeCell ref="B142:K142"/>
    <mergeCell ref="B169:K169"/>
  </mergeCells>
  <dataValidations count="1">
    <dataValidation type="list" allowBlank="1" showInputMessage="1" showErrorMessage="1" sqref="B8:W8" xr:uid="{00000000-0002-0000-1700-000000000000}">
      <formula1>"Count Day, Missed, 7D, 14D, 21D, 28D, EOM, Audit"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E55"/>
  <sheetViews>
    <sheetView topLeftCell="A2" workbookViewId="0">
      <selection activeCell="D26" sqref="D26"/>
    </sheetView>
  </sheetViews>
  <sheetFormatPr baseColWidth="10" defaultRowHeight="15"/>
  <cols>
    <col min="1" max="1" width="11" customWidth="1"/>
    <col min="2" max="2" width="34.33203125" style="1" customWidth="1"/>
    <col min="3" max="3" width="54.1640625" style="1" customWidth="1"/>
    <col min="4" max="4" width="19.5" bestFit="1" customWidth="1"/>
    <col min="5" max="5" width="51" bestFit="1" customWidth="1"/>
  </cols>
  <sheetData>
    <row r="1" spans="1:5">
      <c r="A1" t="s">
        <v>348</v>
      </c>
    </row>
    <row r="2" spans="1:5" ht="24" customHeight="1">
      <c r="A2" s="35" t="s">
        <v>349</v>
      </c>
      <c r="B2" s="36"/>
      <c r="C2" s="36"/>
    </row>
    <row r="3" spans="1:5">
      <c r="A3" s="44" t="s">
        <v>350</v>
      </c>
      <c r="B3" s="36"/>
      <c r="C3" s="36"/>
    </row>
    <row r="4" spans="1:5" ht="16" customHeight="1">
      <c r="A4" s="37" t="s">
        <v>351</v>
      </c>
      <c r="B4" s="38" t="s">
        <v>352</v>
      </c>
      <c r="C4" s="38" t="s">
        <v>353</v>
      </c>
    </row>
    <row r="5" spans="1:5" ht="46" customHeight="1">
      <c r="A5" s="37" t="s">
        <v>27</v>
      </c>
      <c r="B5" s="38" t="s">
        <v>354</v>
      </c>
      <c r="C5" s="39" t="s">
        <v>355</v>
      </c>
    </row>
    <row r="6" spans="1:5" ht="31" customHeight="1">
      <c r="A6" s="37" t="s">
        <v>356</v>
      </c>
      <c r="B6" s="38" t="s">
        <v>357</v>
      </c>
      <c r="C6" s="39" t="s">
        <v>358</v>
      </c>
    </row>
    <row r="7" spans="1:5" ht="16" customHeight="1">
      <c r="A7" s="37" t="s">
        <v>21</v>
      </c>
      <c r="B7" s="38" t="s">
        <v>359</v>
      </c>
      <c r="C7" s="39" t="s">
        <v>360</v>
      </c>
    </row>
    <row r="8" spans="1:5">
      <c r="A8" s="33"/>
      <c r="B8" s="34"/>
      <c r="C8" s="34"/>
    </row>
    <row r="9" spans="1:5" ht="24" customHeight="1">
      <c r="A9" s="35" t="s">
        <v>361</v>
      </c>
      <c r="B9" s="36"/>
      <c r="C9" s="36"/>
    </row>
    <row r="10" spans="1:5">
      <c r="A10" s="44" t="s">
        <v>362</v>
      </c>
      <c r="B10" s="36"/>
      <c r="C10" s="36"/>
    </row>
    <row r="11" spans="1:5" ht="16" customHeight="1">
      <c r="A11" s="37" t="s">
        <v>351</v>
      </c>
      <c r="B11" s="38" t="s">
        <v>352</v>
      </c>
      <c r="C11" s="38" t="s">
        <v>353</v>
      </c>
    </row>
    <row r="12" spans="1:5" ht="31" customHeight="1">
      <c r="A12" s="37" t="s">
        <v>27</v>
      </c>
      <c r="B12" s="43">
        <v>3708</v>
      </c>
      <c r="C12" s="39" t="s">
        <v>363</v>
      </c>
    </row>
    <row r="13" spans="1:5" ht="31" customHeight="1">
      <c r="A13" s="37" t="s">
        <v>356</v>
      </c>
      <c r="B13" s="38" t="s">
        <v>364</v>
      </c>
      <c r="C13" s="39" t="s">
        <v>365</v>
      </c>
    </row>
    <row r="14" spans="1:5" ht="16" customHeight="1">
      <c r="A14" s="37" t="s">
        <v>21</v>
      </c>
      <c r="B14" s="38" t="s">
        <v>366</v>
      </c>
      <c r="C14" s="39" t="s">
        <v>367</v>
      </c>
    </row>
    <row r="16" spans="1:5" ht="24" customHeight="1">
      <c r="A16" s="35" t="s">
        <v>368</v>
      </c>
      <c r="B16" s="36"/>
      <c r="C16" s="36"/>
      <c r="D16" s="4"/>
      <c r="E16" s="4"/>
    </row>
    <row r="17" spans="1:5">
      <c r="A17" s="37" t="s">
        <v>369</v>
      </c>
      <c r="B17" s="37" t="s">
        <v>109</v>
      </c>
      <c r="C17" s="37" t="s">
        <v>370</v>
      </c>
      <c r="D17" s="37" t="s">
        <v>111</v>
      </c>
      <c r="E17" s="37" t="s">
        <v>371</v>
      </c>
    </row>
    <row r="18" spans="1:5">
      <c r="A18" s="37">
        <v>35064</v>
      </c>
      <c r="B18" s="37" t="s">
        <v>27</v>
      </c>
      <c r="C18" s="40" t="s">
        <v>372</v>
      </c>
      <c r="D18" s="40" t="s">
        <v>40</v>
      </c>
      <c r="E18" s="40" t="s">
        <v>373</v>
      </c>
    </row>
    <row r="19" spans="1:5">
      <c r="A19" s="37">
        <v>13113</v>
      </c>
      <c r="B19" s="37" t="s">
        <v>27</v>
      </c>
      <c r="C19" s="40" t="s">
        <v>374</v>
      </c>
      <c r="D19" s="40" t="s">
        <v>356</v>
      </c>
      <c r="E19" s="40" t="s">
        <v>375</v>
      </c>
    </row>
    <row r="20" spans="1:5">
      <c r="A20" s="37">
        <v>24471</v>
      </c>
      <c r="B20" s="37" t="s">
        <v>27</v>
      </c>
      <c r="C20" s="40" t="s">
        <v>376</v>
      </c>
      <c r="D20" s="40" t="s">
        <v>356</v>
      </c>
      <c r="E20" s="40" t="s">
        <v>377</v>
      </c>
    </row>
    <row r="21" spans="1:5">
      <c r="A21" s="37">
        <v>32525</v>
      </c>
      <c r="B21" s="37" t="s">
        <v>27</v>
      </c>
      <c r="C21" s="40" t="s">
        <v>378</v>
      </c>
      <c r="D21" s="40" t="s">
        <v>21</v>
      </c>
      <c r="E21" s="40" t="s">
        <v>377</v>
      </c>
    </row>
    <row r="22" spans="1:5">
      <c r="A22" s="37">
        <v>6972</v>
      </c>
      <c r="B22" s="37" t="s">
        <v>356</v>
      </c>
      <c r="C22" s="40" t="s">
        <v>379</v>
      </c>
      <c r="D22" s="40" t="s">
        <v>356</v>
      </c>
      <c r="E22" s="40" t="s">
        <v>380</v>
      </c>
    </row>
    <row r="23" spans="1:5">
      <c r="A23" s="37">
        <v>3708</v>
      </c>
      <c r="B23" s="40" t="s">
        <v>356</v>
      </c>
      <c r="C23" s="40" t="s">
        <v>377</v>
      </c>
      <c r="D23" s="37" t="s">
        <v>27</v>
      </c>
      <c r="E23" s="40" t="s">
        <v>381</v>
      </c>
    </row>
    <row r="24" spans="1:5">
      <c r="A24" s="37">
        <v>10422</v>
      </c>
      <c r="B24" s="40" t="s">
        <v>27</v>
      </c>
      <c r="C24" s="40" t="s">
        <v>382</v>
      </c>
      <c r="D24" s="40" t="s">
        <v>27</v>
      </c>
      <c r="E24" s="40" t="s">
        <v>375</v>
      </c>
    </row>
    <row r="25" spans="1:5">
      <c r="A25" s="37">
        <v>10915</v>
      </c>
      <c r="B25" s="40" t="s">
        <v>356</v>
      </c>
      <c r="C25" s="40" t="s">
        <v>383</v>
      </c>
      <c r="D25" s="40" t="s">
        <v>27</v>
      </c>
      <c r="E25" s="40" t="s">
        <v>384</v>
      </c>
    </row>
    <row r="26" spans="1:5">
      <c r="A26" s="37">
        <v>11657</v>
      </c>
      <c r="B26" s="40" t="s">
        <v>356</v>
      </c>
      <c r="C26" s="40" t="s">
        <v>385</v>
      </c>
      <c r="D26" s="40" t="s">
        <v>356</v>
      </c>
      <c r="E26" s="40" t="s">
        <v>377</v>
      </c>
    </row>
    <row r="27" spans="1:5">
      <c r="A27" s="37">
        <v>18213</v>
      </c>
      <c r="B27" s="40" t="s">
        <v>356</v>
      </c>
      <c r="C27" s="40" t="s">
        <v>386</v>
      </c>
      <c r="D27" s="40" t="s">
        <v>356</v>
      </c>
      <c r="E27" s="40" t="s">
        <v>377</v>
      </c>
    </row>
    <row r="28" spans="1:5">
      <c r="A28" s="37">
        <v>31357</v>
      </c>
      <c r="B28" s="40" t="s">
        <v>356</v>
      </c>
      <c r="C28" s="40" t="s">
        <v>377</v>
      </c>
      <c r="D28" s="40" t="s">
        <v>356</v>
      </c>
      <c r="E28" s="40" t="s">
        <v>377</v>
      </c>
    </row>
    <row r="29" spans="1:5">
      <c r="A29" s="37">
        <v>33222</v>
      </c>
      <c r="B29" s="40" t="s">
        <v>27</v>
      </c>
      <c r="C29" s="40" t="s">
        <v>387</v>
      </c>
      <c r="D29" s="40" t="s">
        <v>21</v>
      </c>
      <c r="E29" s="40" t="s">
        <v>377</v>
      </c>
    </row>
    <row r="30" spans="1:5">
      <c r="A30" s="37">
        <v>33704</v>
      </c>
      <c r="B30" s="40" t="s">
        <v>356</v>
      </c>
      <c r="C30" s="40" t="s">
        <v>377</v>
      </c>
      <c r="D30" s="40" t="s">
        <v>356</v>
      </c>
      <c r="E30" s="40" t="s">
        <v>388</v>
      </c>
    </row>
    <row r="31" spans="1:5">
      <c r="A31" s="37">
        <v>43380</v>
      </c>
      <c r="B31" s="40" t="s">
        <v>356</v>
      </c>
      <c r="C31" s="40" t="s">
        <v>377</v>
      </c>
      <c r="D31" s="40" t="s">
        <v>356</v>
      </c>
      <c r="E31" s="40" t="s">
        <v>389</v>
      </c>
    </row>
    <row r="32" spans="1:5">
      <c r="A32" s="37">
        <v>5183</v>
      </c>
      <c r="B32" s="40" t="s">
        <v>356</v>
      </c>
      <c r="C32" s="40" t="s">
        <v>390</v>
      </c>
      <c r="D32" s="40" t="s">
        <v>356</v>
      </c>
      <c r="E32" s="40" t="s">
        <v>391</v>
      </c>
    </row>
    <row r="33" spans="1:5">
      <c r="A33" s="37">
        <v>20475</v>
      </c>
      <c r="B33" s="40" t="s">
        <v>21</v>
      </c>
      <c r="C33" s="40" t="s">
        <v>377</v>
      </c>
      <c r="D33" s="40" t="s">
        <v>356</v>
      </c>
      <c r="E33" s="40" t="s">
        <v>392</v>
      </c>
    </row>
    <row r="34" spans="1:5">
      <c r="A34" s="37">
        <v>29760</v>
      </c>
      <c r="B34" s="40" t="s">
        <v>21</v>
      </c>
      <c r="C34" s="40" t="s">
        <v>377</v>
      </c>
      <c r="D34" s="40" t="s">
        <v>21</v>
      </c>
      <c r="E34" s="40" t="s">
        <v>377</v>
      </c>
    </row>
    <row r="35" spans="1:5">
      <c r="A35" s="37">
        <v>33109</v>
      </c>
      <c r="B35" s="40" t="s">
        <v>21</v>
      </c>
      <c r="C35" s="40" t="s">
        <v>377</v>
      </c>
      <c r="D35" s="40" t="s">
        <v>21</v>
      </c>
      <c r="E35" s="40" t="s">
        <v>377</v>
      </c>
    </row>
    <row r="36" spans="1:5">
      <c r="A36" s="37">
        <v>34222</v>
      </c>
      <c r="B36" s="40" t="s">
        <v>21</v>
      </c>
      <c r="C36" s="40" t="s">
        <v>377</v>
      </c>
      <c r="D36" s="40" t="s">
        <v>356</v>
      </c>
      <c r="E36" s="40" t="s">
        <v>393</v>
      </c>
    </row>
    <row r="37" spans="1:5">
      <c r="A37" s="37">
        <v>5985</v>
      </c>
      <c r="B37" s="40" t="s">
        <v>21</v>
      </c>
      <c r="C37" s="40" t="s">
        <v>377</v>
      </c>
      <c r="D37" s="40" t="s">
        <v>21</v>
      </c>
      <c r="E37" s="40" t="s">
        <v>377</v>
      </c>
    </row>
    <row r="39" spans="1:5" ht="23" customHeight="1">
      <c r="A39" s="41" t="s">
        <v>394</v>
      </c>
    </row>
    <row r="41" spans="1:5">
      <c r="A41" s="42" t="s">
        <v>395</v>
      </c>
    </row>
    <row r="43" spans="1:5">
      <c r="A43" s="42" t="s">
        <v>396</v>
      </c>
    </row>
    <row r="45" spans="1:5">
      <c r="A45" s="42" t="s">
        <v>397</v>
      </c>
    </row>
    <row r="47" spans="1:5" ht="23" customHeight="1">
      <c r="A47" s="41" t="s">
        <v>398</v>
      </c>
    </row>
    <row r="49" spans="1:1">
      <c r="A49" s="42" t="s">
        <v>399</v>
      </c>
    </row>
    <row r="51" spans="1:1">
      <c r="A51" s="42" t="s">
        <v>400</v>
      </c>
    </row>
    <row r="53" spans="1:1">
      <c r="A53" s="42" t="s">
        <v>401</v>
      </c>
    </row>
    <row r="55" spans="1:1">
      <c r="A55" s="42" t="s">
        <v>402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F21"/>
  <sheetViews>
    <sheetView workbookViewId="0">
      <selection activeCell="B39" sqref="B39:B41"/>
    </sheetView>
  </sheetViews>
  <sheetFormatPr baseColWidth="10" defaultRowHeight="15"/>
  <cols>
    <col min="1" max="1" width="12.5" style="24" customWidth="1"/>
    <col min="2" max="2" width="21.1640625" style="24" bestFit="1" customWidth="1"/>
    <col min="3" max="3" width="14.6640625" style="26" customWidth="1"/>
    <col min="4" max="4" width="17.33203125" style="24" bestFit="1" customWidth="1"/>
    <col min="6" max="6" width="10.83203125" style="28" customWidth="1"/>
  </cols>
  <sheetData>
    <row r="1" spans="1:6" ht="17" customHeight="1">
      <c r="A1" s="21" t="s">
        <v>403</v>
      </c>
      <c r="B1" s="21" t="s">
        <v>404</v>
      </c>
      <c r="C1" s="25" t="s">
        <v>405</v>
      </c>
      <c r="D1" s="21" t="s">
        <v>406</v>
      </c>
      <c r="E1" s="21" t="s">
        <v>407</v>
      </c>
      <c r="F1" s="27" t="s">
        <v>408</v>
      </c>
    </row>
    <row r="2" spans="1:6" ht="17" customHeight="1">
      <c r="A2" s="21">
        <v>10422</v>
      </c>
      <c r="B2" s="21" t="s">
        <v>409</v>
      </c>
      <c r="C2" s="25">
        <v>46051</v>
      </c>
      <c r="D2" s="22" t="s">
        <v>35</v>
      </c>
      <c r="E2" s="21" t="s">
        <v>410</v>
      </c>
      <c r="F2" s="27">
        <v>0.91</v>
      </c>
    </row>
    <row r="3" spans="1:6" ht="17" customHeight="1">
      <c r="A3" s="21">
        <v>6972</v>
      </c>
      <c r="B3" s="21" t="s">
        <v>411</v>
      </c>
      <c r="C3" s="25">
        <v>46063</v>
      </c>
      <c r="D3" s="21" t="s">
        <v>35</v>
      </c>
      <c r="E3" s="21" t="s">
        <v>410</v>
      </c>
      <c r="F3" s="27"/>
    </row>
    <row r="4" spans="1:6" ht="17" customHeight="1">
      <c r="A4" s="21">
        <v>10915</v>
      </c>
      <c r="B4" s="21" t="s">
        <v>412</v>
      </c>
      <c r="C4" s="25">
        <v>46071</v>
      </c>
      <c r="D4" s="21" t="s">
        <v>35</v>
      </c>
      <c r="E4" s="21" t="s">
        <v>410</v>
      </c>
      <c r="F4" s="27"/>
    </row>
    <row r="5" spans="1:6" ht="17" customHeight="1">
      <c r="A5" s="21">
        <v>5985</v>
      </c>
      <c r="B5" s="21" t="s">
        <v>413</v>
      </c>
      <c r="C5" s="25">
        <v>46092</v>
      </c>
      <c r="D5" s="21" t="s">
        <v>35</v>
      </c>
      <c r="E5" s="21" t="s">
        <v>414</v>
      </c>
      <c r="F5" s="27"/>
    </row>
    <row r="6" spans="1:6" ht="17" customHeight="1">
      <c r="A6" s="21">
        <v>20475</v>
      </c>
      <c r="B6" s="21" t="s">
        <v>415</v>
      </c>
      <c r="C6" s="25">
        <v>46107</v>
      </c>
      <c r="D6" s="21" t="s">
        <v>35</v>
      </c>
      <c r="E6" s="21" t="s">
        <v>296</v>
      </c>
      <c r="F6" s="27"/>
    </row>
    <row r="7" spans="1:6" ht="17" customHeight="1">
      <c r="A7" s="21">
        <v>33704</v>
      </c>
      <c r="B7" s="21" t="s">
        <v>416</v>
      </c>
      <c r="C7" s="25">
        <v>46127</v>
      </c>
      <c r="D7" s="21" t="s">
        <v>35</v>
      </c>
      <c r="E7" s="21" t="s">
        <v>417</v>
      </c>
      <c r="F7" s="27"/>
    </row>
    <row r="8" spans="1:6" ht="17" customHeight="1">
      <c r="A8" s="21">
        <v>11657</v>
      </c>
      <c r="B8" s="21" t="s">
        <v>418</v>
      </c>
      <c r="C8" s="25">
        <v>46134</v>
      </c>
      <c r="D8" s="23"/>
      <c r="E8" s="21"/>
      <c r="F8" s="27"/>
    </row>
    <row r="9" spans="1:6" ht="17" customHeight="1">
      <c r="A9" s="21">
        <v>34222</v>
      </c>
      <c r="B9" s="21" t="s">
        <v>419</v>
      </c>
      <c r="C9" s="25">
        <v>46155</v>
      </c>
      <c r="D9" s="23"/>
      <c r="E9" s="21"/>
      <c r="F9" s="27"/>
    </row>
    <row r="10" spans="1:6" ht="17" customHeight="1">
      <c r="A10" s="21">
        <v>33222</v>
      </c>
      <c r="B10" s="21" t="s">
        <v>420</v>
      </c>
      <c r="C10" s="25">
        <v>46169</v>
      </c>
      <c r="D10" s="21" t="s">
        <v>35</v>
      </c>
      <c r="E10" s="21" t="s">
        <v>410</v>
      </c>
      <c r="F10" s="27"/>
    </row>
    <row r="11" spans="1:6" ht="17" customHeight="1">
      <c r="A11" s="21">
        <v>13113</v>
      </c>
      <c r="B11" s="21" t="s">
        <v>421</v>
      </c>
      <c r="C11" s="25">
        <v>46183</v>
      </c>
      <c r="D11" s="21" t="s">
        <v>35</v>
      </c>
      <c r="E11" s="21" t="s">
        <v>417</v>
      </c>
      <c r="F11" s="27"/>
    </row>
    <row r="12" spans="1:6" ht="17" customHeight="1">
      <c r="A12" s="21">
        <v>31357</v>
      </c>
      <c r="B12" s="21" t="s">
        <v>422</v>
      </c>
      <c r="C12" s="25">
        <v>46197</v>
      </c>
      <c r="D12" s="23"/>
      <c r="E12" s="21"/>
      <c r="F12" s="27"/>
    </row>
    <row r="13" spans="1:6" ht="17" customHeight="1">
      <c r="A13" s="21">
        <v>35064</v>
      </c>
      <c r="B13" s="21" t="s">
        <v>423</v>
      </c>
      <c r="C13" s="25">
        <v>46211</v>
      </c>
      <c r="D13" s="21" t="s">
        <v>35</v>
      </c>
      <c r="E13" s="21" t="s">
        <v>410</v>
      </c>
      <c r="F13" s="27"/>
    </row>
    <row r="14" spans="1:6" ht="17" customHeight="1">
      <c r="A14" s="21">
        <v>43380</v>
      </c>
      <c r="B14" s="21" t="s">
        <v>424</v>
      </c>
      <c r="C14" s="25">
        <v>46225</v>
      </c>
      <c r="D14" s="21" t="s">
        <v>35</v>
      </c>
      <c r="E14" s="21" t="s">
        <v>417</v>
      </c>
      <c r="F14" s="27"/>
    </row>
    <row r="15" spans="1:6" ht="17" customHeight="1">
      <c r="A15" s="21">
        <v>3708</v>
      </c>
      <c r="B15" s="21" t="s">
        <v>425</v>
      </c>
      <c r="C15" s="25">
        <v>46260</v>
      </c>
      <c r="D15" s="23"/>
      <c r="E15" s="21"/>
      <c r="F15" s="27"/>
    </row>
    <row r="16" spans="1:6" ht="17" customHeight="1">
      <c r="A16" s="21">
        <v>5183</v>
      </c>
      <c r="B16" s="21" t="s">
        <v>426</v>
      </c>
      <c r="C16" s="25">
        <v>46281</v>
      </c>
      <c r="D16" s="23"/>
      <c r="E16" s="21"/>
      <c r="F16" s="27"/>
    </row>
    <row r="17" spans="1:6" ht="17" customHeight="1">
      <c r="A17" s="21">
        <v>33109</v>
      </c>
      <c r="B17" s="21" t="s">
        <v>427</v>
      </c>
      <c r="C17" s="25">
        <v>46295</v>
      </c>
      <c r="D17" s="21" t="s">
        <v>35</v>
      </c>
      <c r="E17" s="21" t="s">
        <v>417</v>
      </c>
      <c r="F17" s="27"/>
    </row>
    <row r="18" spans="1:6" ht="17" customHeight="1">
      <c r="A18" s="21">
        <v>24471</v>
      </c>
      <c r="B18" s="21" t="s">
        <v>428</v>
      </c>
      <c r="C18" s="25">
        <v>46309</v>
      </c>
      <c r="D18" s="23"/>
      <c r="E18" s="21"/>
      <c r="F18" s="27"/>
    </row>
    <row r="19" spans="1:6" ht="17" customHeight="1">
      <c r="A19" s="21">
        <v>29760</v>
      </c>
      <c r="B19" s="21" t="s">
        <v>429</v>
      </c>
      <c r="C19" s="25">
        <v>46323</v>
      </c>
      <c r="D19" s="21" t="s">
        <v>35</v>
      </c>
      <c r="E19" s="21" t="s">
        <v>417</v>
      </c>
      <c r="F19" s="27"/>
    </row>
    <row r="20" spans="1:6" ht="17" customHeight="1">
      <c r="A20" s="21">
        <v>32525</v>
      </c>
      <c r="B20" s="21" t="s">
        <v>430</v>
      </c>
      <c r="C20" s="25">
        <v>46337</v>
      </c>
      <c r="D20" s="21" t="s">
        <v>35</v>
      </c>
      <c r="E20" s="21" t="s">
        <v>410</v>
      </c>
      <c r="F20" s="27"/>
    </row>
    <row r="21" spans="1:6" ht="17" customHeight="1">
      <c r="A21" s="21">
        <v>18213</v>
      </c>
      <c r="B21" s="21" t="s">
        <v>431</v>
      </c>
      <c r="C21" s="25">
        <v>46338</v>
      </c>
      <c r="D21" s="21" t="s">
        <v>432</v>
      </c>
      <c r="E21" s="21" t="s">
        <v>433</v>
      </c>
      <c r="F21" s="27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/>
  <dimension ref="A1:N10"/>
  <sheetViews>
    <sheetView workbookViewId="0">
      <selection activeCell="H12" sqref="H12"/>
    </sheetView>
  </sheetViews>
  <sheetFormatPr baseColWidth="10" defaultRowHeight="15"/>
  <sheetData>
    <row r="1" spans="1:14" ht="80" customHeight="1">
      <c r="A1" s="12" t="s">
        <v>91</v>
      </c>
      <c r="B1" s="13" t="s">
        <v>3</v>
      </c>
      <c r="C1" s="13" t="s">
        <v>100</v>
      </c>
      <c r="D1" s="13" t="s">
        <v>104</v>
      </c>
      <c r="E1" s="13" t="s">
        <v>105</v>
      </c>
      <c r="F1" s="13" t="s">
        <v>434</v>
      </c>
      <c r="G1" s="13" t="s">
        <v>108</v>
      </c>
      <c r="H1" s="13" t="s">
        <v>113</v>
      </c>
      <c r="I1" s="13" t="s">
        <v>114</v>
      </c>
      <c r="J1" s="13" t="s">
        <v>435</v>
      </c>
      <c r="K1" s="13" t="s">
        <v>115</v>
      </c>
      <c r="L1" s="13" t="s">
        <v>116</v>
      </c>
      <c r="M1" s="13" t="s">
        <v>117</v>
      </c>
      <c r="N1" s="14" t="s">
        <v>118</v>
      </c>
    </row>
    <row r="2" spans="1:14">
      <c r="A2" s="15" t="s">
        <v>436</v>
      </c>
      <c r="B2" s="5"/>
      <c r="C2" s="5" t="s">
        <v>235</v>
      </c>
      <c r="D2" s="5" t="s">
        <v>258</v>
      </c>
      <c r="E2" s="5" t="s">
        <v>23</v>
      </c>
      <c r="F2" s="5" t="s">
        <v>23</v>
      </c>
      <c r="G2" s="5"/>
      <c r="H2" s="5"/>
      <c r="I2" s="5" t="s">
        <v>23</v>
      </c>
      <c r="J2" s="5"/>
      <c r="K2" s="16" t="str">
        <f t="shared" ref="K2:K9" si="0">_xlfn.XLOOKUP(A2, $R$2:$R$14, $U$2:$U$14, _xlfn.XLOOKUP(A2, $W$2:$W$14, $Z$2:$Z$14, ""))</f>
        <v/>
      </c>
      <c r="L2" s="5"/>
      <c r="M2" s="5"/>
      <c r="N2" s="7"/>
    </row>
    <row r="3" spans="1:14">
      <c r="A3" s="17" t="s">
        <v>437</v>
      </c>
      <c r="B3" s="6"/>
      <c r="C3" s="6" t="s">
        <v>438</v>
      </c>
      <c r="D3" s="6" t="s">
        <v>261</v>
      </c>
      <c r="E3" s="6" t="s">
        <v>23</v>
      </c>
      <c r="F3" s="6" t="s">
        <v>23</v>
      </c>
      <c r="G3" s="6"/>
      <c r="H3" s="6"/>
      <c r="I3" s="6" t="s">
        <v>23</v>
      </c>
      <c r="J3" s="6"/>
      <c r="K3" s="18" t="str">
        <f t="shared" si="0"/>
        <v/>
      </c>
      <c r="L3" s="6"/>
      <c r="M3" s="6"/>
      <c r="N3" s="8"/>
    </row>
    <row r="4" spans="1:14">
      <c r="A4" s="15" t="s">
        <v>439</v>
      </c>
      <c r="B4" s="5"/>
      <c r="C4" s="5" t="s">
        <v>185</v>
      </c>
      <c r="D4" s="5" t="s">
        <v>264</v>
      </c>
      <c r="E4" s="5" t="s">
        <v>23</v>
      </c>
      <c r="F4" s="5" t="s">
        <v>23</v>
      </c>
      <c r="G4" s="5"/>
      <c r="H4" s="5"/>
      <c r="I4" s="5" t="s">
        <v>23</v>
      </c>
      <c r="J4" s="5"/>
      <c r="K4" s="16" t="str">
        <f t="shared" si="0"/>
        <v/>
      </c>
      <c r="L4" s="5"/>
      <c r="M4" s="5"/>
      <c r="N4" s="7"/>
    </row>
    <row r="5" spans="1:14">
      <c r="A5" s="17" t="s">
        <v>440</v>
      </c>
      <c r="B5" s="6"/>
      <c r="C5" s="6" t="s">
        <v>441</v>
      </c>
      <c r="D5" s="6" t="s">
        <v>442</v>
      </c>
      <c r="E5" s="6" t="s">
        <v>23</v>
      </c>
      <c r="F5" s="6" t="s">
        <v>23</v>
      </c>
      <c r="G5" s="6"/>
      <c r="H5" s="6"/>
      <c r="I5" s="6" t="s">
        <v>23</v>
      </c>
      <c r="J5" s="6"/>
      <c r="K5" s="18" t="str">
        <f t="shared" si="0"/>
        <v/>
      </c>
      <c r="L5" s="6"/>
      <c r="M5" s="6"/>
      <c r="N5" s="8"/>
    </row>
    <row r="6" spans="1:14">
      <c r="A6" s="15" t="s">
        <v>443</v>
      </c>
      <c r="B6" s="5"/>
      <c r="C6" s="5" t="s">
        <v>444</v>
      </c>
      <c r="D6" s="5" t="s">
        <v>445</v>
      </c>
      <c r="E6" s="5" t="s">
        <v>23</v>
      </c>
      <c r="F6" s="5" t="s">
        <v>23</v>
      </c>
      <c r="G6" s="5"/>
      <c r="H6" s="5"/>
      <c r="I6" s="5" t="s">
        <v>23</v>
      </c>
      <c r="J6" s="5"/>
      <c r="K6" s="16" t="str">
        <f t="shared" si="0"/>
        <v/>
      </c>
      <c r="L6" s="5"/>
      <c r="M6" s="5"/>
      <c r="N6" s="7"/>
    </row>
    <row r="7" spans="1:14">
      <c r="A7" s="17" t="s">
        <v>446</v>
      </c>
      <c r="B7" s="6"/>
      <c r="C7" s="6" t="s">
        <v>241</v>
      </c>
      <c r="D7" s="6" t="s">
        <v>447</v>
      </c>
      <c r="E7" s="6" t="s">
        <v>23</v>
      </c>
      <c r="F7" s="6" t="s">
        <v>23</v>
      </c>
      <c r="G7" s="6"/>
      <c r="H7" s="6"/>
      <c r="I7" s="6" t="s">
        <v>23</v>
      </c>
      <c r="J7" s="6"/>
      <c r="K7" s="18" t="str">
        <f t="shared" si="0"/>
        <v/>
      </c>
      <c r="L7" s="6"/>
      <c r="M7" s="6"/>
      <c r="N7" s="8"/>
    </row>
    <row r="8" spans="1:14">
      <c r="A8" s="15" t="s">
        <v>448</v>
      </c>
      <c r="B8" s="5"/>
      <c r="C8" s="5" t="s">
        <v>449</v>
      </c>
      <c r="D8" s="5" t="s">
        <v>271</v>
      </c>
      <c r="E8" s="5" t="s">
        <v>23</v>
      </c>
      <c r="F8" s="5" t="s">
        <v>23</v>
      </c>
      <c r="G8" s="5"/>
      <c r="H8" s="5"/>
      <c r="I8" s="5" t="s">
        <v>23</v>
      </c>
      <c r="J8" s="5"/>
      <c r="K8" s="16" t="str">
        <f t="shared" si="0"/>
        <v/>
      </c>
      <c r="L8" s="5"/>
      <c r="M8" s="5"/>
      <c r="N8" s="7"/>
    </row>
    <row r="9" spans="1:14">
      <c r="A9" s="17" t="s">
        <v>450</v>
      </c>
      <c r="B9" s="6"/>
      <c r="C9" s="6" t="s">
        <v>241</v>
      </c>
      <c r="D9" s="6" t="s">
        <v>274</v>
      </c>
      <c r="E9" s="6" t="s">
        <v>23</v>
      </c>
      <c r="F9" s="6" t="s">
        <v>23</v>
      </c>
      <c r="G9" s="6"/>
      <c r="H9" s="6"/>
      <c r="I9" s="6" t="s">
        <v>23</v>
      </c>
      <c r="J9" s="6"/>
      <c r="K9" s="18" t="str">
        <f t="shared" si="0"/>
        <v/>
      </c>
      <c r="L9" s="6"/>
      <c r="M9" s="6"/>
      <c r="N9" s="8"/>
    </row>
    <row r="10" spans="1:14">
      <c r="A10" s="9" t="s">
        <v>451</v>
      </c>
      <c r="B10" s="5"/>
      <c r="C10" s="5" t="s">
        <v>452</v>
      </c>
      <c r="D10" s="5" t="s">
        <v>277</v>
      </c>
      <c r="E10" s="5" t="s">
        <v>23</v>
      </c>
      <c r="F10" s="5" t="s">
        <v>23</v>
      </c>
      <c r="G10" s="5"/>
      <c r="H10" s="5"/>
      <c r="I10" s="5" t="s">
        <v>23</v>
      </c>
      <c r="J10" s="5"/>
      <c r="K10" s="5"/>
      <c r="L10" s="5"/>
      <c r="M10" s="5"/>
      <c r="N10" s="7"/>
    </row>
  </sheetData>
  <conditionalFormatting sqref="E2:F10 I2:I10">
    <cfRule type="containsText" dxfId="1" priority="1" operator="containsText" text="Yes">
      <formula>NOT(ISERROR(SEARCH("Yes",E2)))</formula>
    </cfRule>
    <cfRule type="containsText" dxfId="0" priority="2" stopIfTrue="1" operator="containsText" text="No">
      <formula>NOT(ISERROR(SEARCH("No",E2)))</formula>
    </cfRule>
  </conditionalFormatting>
  <dataValidations count="3">
    <dataValidation type="list" allowBlank="1" showInputMessage="1" showErrorMessage="1" sqref="F2:F10" xr:uid="{00000000-0002-0000-1A00-000000000000}">
      <formula1>"Yes, No, Partially"</formula1>
    </dataValidation>
    <dataValidation type="list" allowBlank="1" showInputMessage="1" showErrorMessage="1" sqref="G2:G10 L2:N9" xr:uid="{00000000-0002-0000-1A00-000001000000}">
      <formula1>"Monday, Tuesday, Wednesday, Thursday, Friday, Saturday, Sunday"</formula1>
    </dataValidation>
    <dataValidation type="list" allowBlank="1" showInputMessage="1" showErrorMessage="1" sqref="E2:E10 I2:I10" xr:uid="{00000000-0002-0000-1A00-00000200000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Locations</vt:lpstr>
      <vt:lpstr>FC-Inv Setup</vt:lpstr>
      <vt:lpstr>Scheduling Setup</vt:lpstr>
      <vt:lpstr>IMET</vt:lpstr>
      <vt:lpstr>3708</vt:lpstr>
      <vt:lpstr>5183</vt:lpstr>
      <vt:lpstr>5985</vt:lpstr>
      <vt:lpstr>6972</vt:lpstr>
      <vt:lpstr>10422</vt:lpstr>
      <vt:lpstr>10915</vt:lpstr>
      <vt:lpstr>11657</vt:lpstr>
      <vt:lpstr>13113</vt:lpstr>
      <vt:lpstr>18213</vt:lpstr>
      <vt:lpstr>20475</vt:lpstr>
      <vt:lpstr>24471</vt:lpstr>
      <vt:lpstr>29760</vt:lpstr>
      <vt:lpstr>31357</vt:lpstr>
      <vt:lpstr>32525</vt:lpstr>
      <vt:lpstr>33109</vt:lpstr>
      <vt:lpstr>33222</vt:lpstr>
      <vt:lpstr>33704</vt:lpstr>
      <vt:lpstr>34222</vt:lpstr>
      <vt:lpstr>35064</vt:lpstr>
      <vt:lpstr>43380</vt:lpstr>
      <vt:lpstr>Risk Profiles</vt:lpstr>
      <vt:lpstr>RGR Dates</vt:lpstr>
      <vt:lpstr>Other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Fletcher Reaves</cp:lastModifiedBy>
  <dcterms:created xsi:type="dcterms:W3CDTF">2026-03-10T14:49:17Z</dcterms:created>
  <dcterms:modified xsi:type="dcterms:W3CDTF">2026-09-01T12:55:41Z</dcterms:modified>
</cp:coreProperties>
</file>